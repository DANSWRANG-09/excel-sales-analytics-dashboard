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<sst xmlns="http://schemas.openxmlformats.org/spreadsheetml/2006/main" count="2071" uniqueCount="312">
  <si>
    <t xml:space="preserve">Date</t>
  </si>
  <si>
    <t xml:space="preserve">Region</t>
  </si>
  <si>
    <t xml:space="preserve">Category</t>
  </si>
  <si>
    <t xml:space="preserve">Product</t>
  </si>
  <si>
    <t xml:space="preserve">Units Sold</t>
  </si>
  <si>
    <t xml:space="preserve">Unit Price</t>
  </si>
  <si>
    <t xml:space="preserve">Salesperson</t>
  </si>
  <si>
    <t xml:space="preserve">Total Sales</t>
  </si>
  <si>
    <t xml:space="preserve">Month</t>
  </si>
  <si>
    <t xml:space="preserve">2025-01-02</t>
  </si>
  <si>
    <t xml:space="preserve">East</t>
  </si>
  <si>
    <t xml:space="preserve">Furniture</t>
  </si>
  <si>
    <t xml:space="preserve">Bookshelf</t>
  </si>
  <si>
    <t xml:space="preserve">S. Novak</t>
  </si>
  <si>
    <t xml:space="preserve">2025-01-05</t>
  </si>
  <si>
    <t xml:space="preserve">West</t>
  </si>
  <si>
    <t xml:space="preserve">Electronics</t>
  </si>
  <si>
    <t xml:space="preserve">Laptop</t>
  </si>
  <si>
    <t xml:space="preserve">J. Chen</t>
  </si>
  <si>
    <t xml:space="preserve">2025-01-09</t>
  </si>
  <si>
    <t xml:space="preserve">South</t>
  </si>
  <si>
    <t xml:space="preserve">A. Rivera</t>
  </si>
  <si>
    <t xml:space="preserve">2025-01-10</t>
  </si>
  <si>
    <t xml:space="preserve">North</t>
  </si>
  <si>
    <t xml:space="preserve">Office Supplies</t>
  </si>
  <si>
    <t xml:space="preserve">Stapler</t>
  </si>
  <si>
    <t xml:space="preserve">2025-01-13</t>
  </si>
  <si>
    <t xml:space="preserve">Pen Pack</t>
  </si>
  <si>
    <t xml:space="preserve">2025-01-14</t>
  </si>
  <si>
    <t xml:space="preserve">Appliances</t>
  </si>
  <si>
    <t xml:space="preserve">Coffee Maker</t>
  </si>
  <si>
    <t xml:space="preserve">L. Nguyen</t>
  </si>
  <si>
    <t xml:space="preserve">Desk Fan</t>
  </si>
  <si>
    <t xml:space="preserve">2025-01-15</t>
  </si>
  <si>
    <t xml:space="preserve">Printer Paper</t>
  </si>
  <si>
    <t xml:space="preserve">M. Patel</t>
  </si>
  <si>
    <t xml:space="preserve">2025-01-16</t>
  </si>
  <si>
    <t xml:space="preserve">Standing Desk</t>
  </si>
  <si>
    <t xml:space="preserve">Filing Cabinet</t>
  </si>
  <si>
    <t xml:space="preserve">K. Osei</t>
  </si>
  <si>
    <t xml:space="preserve">Notebook Set</t>
  </si>
  <si>
    <t xml:space="preserve">2025-01-19</t>
  </si>
  <si>
    <t xml:space="preserve">Smartphone</t>
  </si>
  <si>
    <t xml:space="preserve">2025-01-21</t>
  </si>
  <si>
    <t xml:space="preserve">2025-01-22</t>
  </si>
  <si>
    <t xml:space="preserve">Tablet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</si>
  <si>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</si>
  <si>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</si>
  <si>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</si>
  <si>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</si>
  <si>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</si>
  <si>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Microwave</t>
  </si>
  <si>
    <t xml:space="preserve">2025-01-28</t>
  </si>
  <si>
    <t xml:space="preserve">2025-01-30</t>
  </si>
  <si>
    <t xml:space="preserve">2025-01-31</t>
  </si>
  <si>
    <t xml:space="preserve">2025-02-01</t>
  </si>
  <si>
    <t xml:space="preserve">Air Purifier</t>
  </si>
  <si>
    <t xml:space="preserve">2025-02-03</t>
  </si>
  <si>
    <t xml:space="preserve">2025-02-05</t>
  </si>
  <si>
    <t xml:space="preserve">2025-02-07</t>
  </si>
  <si>
    <t xml:space="preserve">2025-02-08</t>
  </si>
  <si>
    <t xml:space="preserve">2025-02-10</t>
  </si>
  <si>
    <t xml:space="preserve">2025-02-11</t>
  </si>
  <si>
    <t xml:space="preserve">2025-02-14</t>
  </si>
  <si>
    <t xml:space="preserve">Headphones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</si>
  <si>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</si>
  <si>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</si>
  <si>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</si>
  <si>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</si>
  <si>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</si>
  <si>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</si>
  <si>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Monitor</t>
  </si>
  <si>
    <t xml:space="preserve">2025-02-24</t>
  </si>
  <si>
    <t xml:space="preserve">2025-02-27</t>
  </si>
  <si>
    <t xml:space="preserve">2025-02-28</t>
  </si>
  <si>
    <t xml:space="preserve">2025-03-01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</si>
  <si>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</si>
  <si>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</si>
  <si>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</si>
  <si>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</si>
  <si>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</si>
  <si>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</si>
  <si>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</si>
  <si>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</si>
  <si>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</si>
  <si>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</si>
  <si>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</si>
  <si>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</si>
  <si>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</si>
  <si>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</si>
  <si>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</si>
  <si>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</si>
  <si>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</si>
  <si>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Office Chair</t>
  </si>
  <si>
    <t xml:space="preserve">2025-03-24</t>
  </si>
  <si>
    <t xml:space="preserve">2025-03-26</t>
  </si>
  <si>
    <t xml:space="preserve">2025-03-27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</si>
  <si>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</si>
  <si>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</si>
  <si>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</si>
  <si>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</si>
  <si>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</si>
  <si>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</si>
  <si>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</si>
  <si>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</si>
  <si>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2025-04-15</t>
  </si>
  <si>
    <t xml:space="preserve">2025-04-18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</si>
  <si>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</si>
  <si>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</si>
  <si>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</si>
  <si>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</si>
  <si>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</si>
  <si>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</si>
  <si>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</si>
  <si>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</si>
  <si>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</si>
  <si>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</si>
  <si>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</si>
  <si>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2025-05-03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</si>
  <si>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</si>
  <si>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</si>
  <si>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</si>
  <si>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</si>
  <si>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2025-05-13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</si>
  <si>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</si>
  <si>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</si>
  <si>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</si>
  <si>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</si>
  <si>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</si>
  <si>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</si>
  <si>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</si>
  <si>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</si>
  <si>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</si>
  <si>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</si>
  <si>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</si>
  <si>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</si>
  <si>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</si>
  <si>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</si>
  <si>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</si>
  <si>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2025-06-08</t>
  </si>
  <si>
    <t xml:space="preserve">2025-06-10</t>
  </si>
  <si>
    <t xml:space="preserve">2025-06-11</t>
  </si>
  <si>
    <t xml:space="preserve">2025-06-14</t>
  </si>
  <si>
    <t xml:space="preserve">2025-06-15</t>
  </si>
  <si>
    <t xml:space="preserve">2025-06-19</t>
  </si>
  <si>
    <t xml:space="preserve">2025-06-20</t>
  </si>
  <si>
    <t xml:space="preserve">2025-06-21</t>
  </si>
  <si>
    <t xml:space="preserve">2025-06-23</t>
  </si>
  <si>
    <t xml:space="preserve">2025-06-24</t>
  </si>
  <si>
    <t xml:space="preserve">2025-06-26</t>
  </si>
  <si>
    <t xml:space="preserve">2025-06-29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</si>
  <si>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</si>
  <si>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</si>
  <si>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</si>
  <si>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</si>
  <si>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</si>
  <si>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</si>
  <si>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2025-07-11</t>
  </si>
  <si>
    <t xml:space="preserve">2025-07-12</t>
  </si>
  <si>
    <t xml:space="preserve">2025-07-14</t>
  </si>
  <si>
    <t xml:space="preserve">2025-07-15</t>
  </si>
  <si>
    <t xml:space="preserve">2025-07-16</t>
  </si>
  <si>
    <t xml:space="preserve">2025-07-18</t>
  </si>
  <si>
    <t xml:space="preserve">2025-07-19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</si>
  <si>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</si>
  <si>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</si>
  <si>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</si>
  <si>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</si>
  <si>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2025-07-27</t>
  </si>
  <si>
    <t xml:space="preserve">2025-07-28</t>
  </si>
  <si>
    <t xml:space="preserve">2025-07-29</t>
  </si>
  <si>
    <t xml:space="preserve">2025-08-01</t>
  </si>
  <si>
    <t xml:space="preserve">2025-08-03</t>
  </si>
  <si>
    <t xml:space="preserve">2025-08-05</t>
  </si>
  <si>
    <t xml:space="preserve">2025-08-06</t>
  </si>
  <si>
    <t xml:space="preserve">2025-08-08</t>
  </si>
  <si>
    <t xml:space="preserve">2025-08-10</t>
  </si>
  <si>
    <t xml:space="preserve">2025-08-12</t>
  </si>
  <si>
    <t xml:space="preserve">2025-08-13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</si>
  <si>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</si>
  <si>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</si>
  <si>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</si>
  <si>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</si>
  <si>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</si>
  <si>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2025-08-22</t>
  </si>
  <si>
    <t xml:space="preserve">2025-08-23</t>
  </si>
  <si>
    <t xml:space="preserve">2025-08-24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</si>
  <si>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</si>
  <si>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</si>
  <si>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</si>
  <si>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</si>
  <si>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2025-09-01</t>
  </si>
  <si>
    <t xml:space="preserve">2025-09-02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</si>
  <si>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</si>
  <si>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</si>
  <si>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</si>
  <si>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</si>
  <si>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</si>
  <si>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</si>
  <si>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</si>
  <si>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</si>
  <si>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2025-09-15</t>
  </si>
  <si>
    <t xml:space="preserve">2025-09-16</t>
  </si>
  <si>
    <t xml:space="preserve">2025-09-17</t>
  </si>
  <si>
    <t xml:space="preserve">2025-09-21</t>
  </si>
  <si>
    <t xml:space="preserve">2025-09-22</t>
  </si>
  <si>
    <t xml:space="preserve">2025-09-25</t>
  </si>
  <si>
    <t xml:space="preserve">2025-09-26</t>
  </si>
  <si>
    <t xml:space="preserve">2025-09-28</t>
  </si>
  <si>
    <t xml:space="preserve">2025-09-29</t>
  </si>
  <si>
    <t xml:space="preserve">2025-10-01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</si>
  <si>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</si>
  <si>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</si>
  <si>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</si>
  <si>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</si>
  <si>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</si>
  <si>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</si>
  <si>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</si>
  <si>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</si>
  <si>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</si>
  <si>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2025-10-14</t>
  </si>
  <si>
    <t xml:space="preserve">2025-10-15</t>
  </si>
  <si>
    <t xml:space="preserve">2025-10-17</t>
  </si>
  <si>
    <t xml:space="preserve">2025-10-18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</si>
  <si>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</si>
  <si>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</si>
  <si>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</si>
  <si>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</si>
  <si>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2025-10-25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</si>
  <si>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</si>
  <si>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</si>
  <si>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</si>
  <si>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</si>
  <si>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2025-11-02</t>
  </si>
  <si>
    <t xml:space="preserve">2025-11-03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</si>
  <si>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</si>
  <si>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</si>
  <si>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</si>
  <si>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</si>
  <si>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</si>
  <si>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</si>
  <si>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</si>
  <si>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2025-11-15</t>
  </si>
  <si>
    <t xml:space="preserve">2025-11-18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</si>
  <si>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</si>
  <si>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</si>
  <si>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</si>
  <si>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</si>
  <si>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</si>
  <si>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</si>
  <si>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</si>
  <si>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</si>
  <si>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</si>
  <si>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2025-12-02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</si>
  <si>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</si>
  <si>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</si>
  <si>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</si>
  <si>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</si>
  <si>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</si>
  <si>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</si>
  <si>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2025-12-11</t>
  </si>
  <si>
    <t xml:space="preserve">2025-12-13</t>
  </si>
  <si>
    <t xml:space="preserve">2025-12-14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</si>
  <si>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</si>
  <si>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</si>
  <si>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</si>
  <si>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</si>
  <si>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</si>
  <si>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</si>
  <si>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</si>
  <si>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</si>
  <si>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</si>
  <si>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</si>
  <si>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</si>
  <si>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</si>
  <si>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2025-12-29</t>
  </si>
  <si>
    <t xml:space="preserve">2025-12-30</t>
  </si>
  <si>
    <t xml:space="preserve">2025-12-31</t>
  </si>
  <si>
    <t xml:space="preserve">Sales Performance Dashboard</t>
  </si>
  <si>
    <t xml:space="preserve">FY2025 · Source: Raw Data sheet (SUMIFS-driven, recalculates automatically)</t>
  </si>
  <si>
    <t xml:space="preserve">Total Revenue</t>
  </si>
  <si>
    <t xml:space="preserve">Total Units Sold</t>
  </si>
  <si>
    <t xml:space="preserve">Avg Order Value</t>
  </si>
  <si>
    <t xml:space="preserve">Transactions</t>
  </si>
  <si>
    <t xml:space="preserve">Monthly Sales (chart data)</t>
  </si>
  <si>
    <t xml:space="preserve">Sales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</si>
  <si>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</si>
  <si>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</si>
  <si>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</si>
  <si>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</si>
  <si>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</si>
  <si>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</si>
  <si>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</si>
  <si>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</si>
  <si>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</si>
  <si>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</si>
  <si>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</si>
  <si>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</si>
  <si>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Data Analyst Portfolio Project — Sales Performance Analysis</t>
  </si>
  <si>
    <t xml:space="preserve">Techniques demonstrated: SUMIFS, INDEX/MATCH, COUNTIFS, AVERAGEIFS, IFERROR, conditional formatting</t>
  </si>
  <si>
    <t xml:space="preserve">Total Sales by Region</t>
  </si>
  <si>
    <t xml:space="preserve">Total</t>
  </si>
  <si>
    <t xml:space="preserve">Total Sales by Category</t>
  </si>
  <si>
    <t xml:space="preserve">% of Total</t>
  </si>
  <si>
    <t xml:space="preserve">Product Lookup — INDEX/MATCH</t>
  </si>
  <si>
    <t xml:space="preserve">Enter a Product name to look up:</t>
  </si>
  <si>
    <t xml:space="preserve">Salesperson (last sale)</t>
  </si>
  <si>
    <t xml:space="preserve">Note: yellow cell is an input — type any product name from Raw Data (e.g. Monitor, Coffee Maker).</t>
  </si>
  <si>
    <t xml:space="preserve">Salesperson Performance</t>
  </si>
  <si>
    <t xml:space="preserve">Deals Closed</t>
  </si>
  <si>
    <t xml:space="preserve">Avg Deal Size</t>
  </si>
  <si>
    <t xml:space="preserve">Rank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</si>
</sst>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"/>
    <numFmt numFmtId="167" formatCode="#,##0"/>
    <numFmt numFmtId="168" formatCode="General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9F9F9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Analysis!$A$6:$A$9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Analysis!$B$6:$B$9</c:f>
              <c:numCache>
                <c:formatCode>\$#,##0</c:formatCode>
                <c:ptCount val="4"/>
                <c:pt idx="0">
                  <c:v>161544.09</c:v>
                </c:pt>
                <c:pt idx="1">
                  <c:v>269035.51</c:v>
                </c:pt>
                <c:pt idx="2">
                  <c:v>266776.08</c:v>
                </c:pt>
                <c:pt idx="3">
                  <c:v>278117.95</c:v>
                </c:pt>
              </c:numCache>
            </c:numRef>
          </c:val>
        </c:ser>
        <c:gapWidth val="150"/>
        <c:overlap val="0"/>
        <c:axId val="42121755"/>
        <c:axId val="83875591"/>
      </c:barChart>
      <c:catAx>
        <c:axId val="421217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75591"/>
        <c:crosses val="autoZero"/>
        <c:auto val="1"/>
        <c:lblAlgn val="ctr"/>
        <c:lblOffset val="100"/>
        <c:noMultiLvlLbl val="0"/>
      </c:catAx>
      <c:valAx>
        <c:axId val="83875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217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Analysis!B13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Analysis!$A$14:$A$17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Appliances</c:v>
                </c:pt>
              </c:strCache>
            </c:strRef>
          </c:cat>
          <c:val>
            <c:numRef>
              <c:f>Analysis!$B$14:$B$17</c:f>
              <c:numCache>
                <c:formatCode>\$#,##0</c:formatCode>
                <c:ptCount val="4"/>
                <c:pt idx="0">
                  <c:v>598167.21</c:v>
                </c:pt>
                <c:pt idx="1">
                  <c:v>239627.44</c:v>
                </c:pt>
                <c:pt idx="2">
                  <c:v>12057.9</c:v>
                </c:pt>
                <c:pt idx="3">
                  <c:v>125621.08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Dashboard!S27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Dashboard!$R$28:$R$39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Dashboard!$S$28:$S$39</c:f>
              <c:numCache>
                <c:formatCode>\$#,##0</c:formatCode>
                <c:ptCount val="12"/>
                <c:pt idx="0">
                  <c:v>48231.94</c:v>
                </c:pt>
                <c:pt idx="1">
                  <c:v>72361</c:v>
                </c:pt>
                <c:pt idx="2">
                  <c:v>93795.82</c:v>
                </c:pt>
                <c:pt idx="3">
                  <c:v>67399.95</c:v>
                </c:pt>
                <c:pt idx="4">
                  <c:v>76438.84</c:v>
                </c:pt>
                <c:pt idx="5">
                  <c:v>162803.19</c:v>
                </c:pt>
                <c:pt idx="6">
                  <c:v>88930.64</c:v>
                </c:pt>
                <c:pt idx="7">
                  <c:v>68020.04</c:v>
                </c:pt>
                <c:pt idx="8">
                  <c:v>44523.3</c:v>
                </c:pt>
                <c:pt idx="9">
                  <c:v>66537.19</c:v>
                </c:pt>
                <c:pt idx="10">
                  <c:v>104445.49</c:v>
                </c:pt>
                <c:pt idx="11">
                  <c:v>81986.23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074470"/>
        <c:axId val="87989698"/>
      </c:lineChart>
      <c:catAx>
        <c:axId val="590744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89698"/>
        <c:crosses val="autoZero"/>
        <c:auto val="1"/>
        <c:lblAlgn val="ctr"/>
        <c:lblOffset val="100"/>
        <c:noMultiLvlLbl val="0"/>
      </c:catAx>
      <c:valAx>
        <c:axId val="87989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744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10800</xdr:rowOff>
    </xdr:from>
    <xdr:to>
      <xdr:col>6</xdr:col>
      <xdr:colOff>465840</xdr:colOff>
      <xdr:row>22</xdr:row>
      <xdr:rowOff>32760</xdr:rowOff>
    </xdr:to>
    <xdr:graphicFrame>
      <xdr:nvGraphicFramePr>
        <xdr:cNvPr id="0" name="Chart 1"/>
        <xdr:cNvGraphicFramePr/>
      </xdr:nvGraphicFramePr>
      <xdr:xfrm>
        <a:off x="611640" y="14572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10800</xdr:rowOff>
    </xdr:from>
    <xdr:to>
      <xdr:col>12</xdr:col>
      <xdr:colOff>465480</xdr:colOff>
      <xdr:row>22</xdr:row>
      <xdr:rowOff>32760</xdr:rowOff>
    </xdr:to>
    <xdr:graphicFrame>
      <xdr:nvGraphicFramePr>
        <xdr:cNvPr id="1" name="Chart 2"/>
        <xdr:cNvGraphicFramePr/>
      </xdr:nvGraphicFramePr>
      <xdr:xfrm>
        <a:off x="6532200" y="14572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10800</xdr:rowOff>
    </xdr:from>
    <xdr:to>
      <xdr:col>11</xdr:col>
      <xdr:colOff>932040</xdr:colOff>
      <xdr:row>41</xdr:row>
      <xdr:rowOff>11880</xdr:rowOff>
    </xdr:to>
    <xdr:graphicFrame>
      <xdr:nvGraphicFramePr>
        <xdr:cNvPr id="2" name="Chart 3"/>
        <xdr:cNvGraphicFramePr/>
      </xdr:nvGraphicFramePr>
      <xdr:xfrm>
        <a:off x="611640" y="4695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Raw" displayName="SalesRaw" ref="A1:I401" headerRowCount="1" totalsRowCount="0" totalsRowShown="0">
  <autoFilter ref="A1:I401"/>
  <tableColumns count="9">
    <tableColumn id="1" name="Date"/>
    <tableColumn id="2" name="Region"/>
    <tableColumn id="3" name="Category"/>
    <tableColumn id="4" name="Product"/>
    <tableColumn id="5" name="Units Sold"/>
    <tableColumn id="6" name="Unit Price"/>
    <tableColumn id="7" name="Salesperson"/>
    <tableColumn id="8" name="Total Sales"/>
    <tableColumn id="9" name="Mon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6</v>
      </c>
      <c r="F2" s="3" t="n">
        <v>129.99</v>
      </c>
      <c r="G2" s="2" t="s">
        <v>13</v>
      </c>
      <c r="H2" s="3" t="n">
        <f aca="false">E2*F2</f>
        <v>779.94</v>
      </c>
      <c r="I2" s="2" t="str">
        <f aca="false">TEXT(A2,"MMM YYYY")</f>
        <v>Jan 2025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n">
        <v>18</v>
      </c>
      <c r="F3" s="3" t="n">
        <v>899.99</v>
      </c>
      <c r="G3" s="2" t="s">
        <v>18</v>
      </c>
      <c r="H3" s="3" t="n">
        <f aca="false">E3*F3</f>
        <v>16199.82</v>
      </c>
      <c r="I3" s="2" t="str">
        <f aca="false">TEXT(A3,"MMM YYYY")</f>
        <v>Jan 2025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11</v>
      </c>
      <c r="D4" s="2" t="s">
        <v>12</v>
      </c>
      <c r="E4" s="2" t="n">
        <v>14</v>
      </c>
      <c r="F4" s="3" t="n">
        <v>129.99</v>
      </c>
      <c r="G4" s="2" t="s">
        <v>21</v>
      </c>
      <c r="H4" s="3" t="n">
        <f aca="false">E4*F4</f>
        <v>1819.86</v>
      </c>
      <c r="I4" s="2" t="str">
        <f aca="false">TEXT(A4,"MMM YYYY")</f>
        <v>Jan 2025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n">
        <v>21</v>
      </c>
      <c r="F5" s="3" t="n">
        <v>8.99</v>
      </c>
      <c r="G5" s="2" t="s">
        <v>21</v>
      </c>
      <c r="H5" s="3" t="n">
        <f aca="false">E5*F5</f>
        <v>188.79</v>
      </c>
      <c r="I5" s="2" t="str">
        <f aca="false">TEXT(A5,"MMM YYYY")</f>
        <v>Jan 2025</v>
      </c>
    </row>
    <row r="6" customFormat="false" ht="15" hidden="false" customHeight="false" outlineLevel="0" collapsed="false">
      <c r="A6" s="2" t="s">
        <v>26</v>
      </c>
      <c r="B6" s="2" t="s">
        <v>20</v>
      </c>
      <c r="C6" s="2" t="s">
        <v>24</v>
      </c>
      <c r="D6" s="2" t="s">
        <v>27</v>
      </c>
      <c r="E6" s="2" t="n">
        <v>22</v>
      </c>
      <c r="F6" s="3" t="n">
        <v>4.99</v>
      </c>
      <c r="G6" s="2" t="s">
        <v>13</v>
      </c>
      <c r="H6" s="3" t="n">
        <f aca="false">E6*F6</f>
        <v>109.78</v>
      </c>
      <c r="I6" s="2" t="str">
        <f aca="false">TEXT(A6,"MMM YYYY")</f>
        <v>Jan 2025</v>
      </c>
    </row>
    <row r="7" customFormat="false" ht="15" hidden="false" customHeight="false" outlineLevel="0" collapsed="false">
      <c r="A7" s="2" t="s">
        <v>28</v>
      </c>
      <c r="B7" s="2" t="s">
        <v>20</v>
      </c>
      <c r="C7" s="2" t="s">
        <v>29</v>
      </c>
      <c r="D7" s="2" t="s">
        <v>30</v>
      </c>
      <c r="E7" s="2" t="n">
        <v>15</v>
      </c>
      <c r="F7" s="3" t="n">
        <v>59.99</v>
      </c>
      <c r="G7" s="2" t="s">
        <v>31</v>
      </c>
      <c r="H7" s="3" t="n">
        <f aca="false">E7*F7</f>
        <v>899.85</v>
      </c>
      <c r="I7" s="2" t="str">
        <f aca="false">TEXT(A7,"MMM YYYY")</f>
        <v>Jan 2025</v>
      </c>
    </row>
    <row r="8" customFormat="false" ht="15" hidden="false" customHeight="false" outlineLevel="0" collapsed="false">
      <c r="A8" s="2" t="s">
        <v>28</v>
      </c>
      <c r="B8" s="2" t="s">
        <v>10</v>
      </c>
      <c r="C8" s="2" t="s">
        <v>29</v>
      </c>
      <c r="D8" s="2" t="s">
        <v>32</v>
      </c>
      <c r="E8" s="2" t="n">
        <v>23</v>
      </c>
      <c r="F8" s="3" t="n">
        <v>34.99</v>
      </c>
      <c r="G8" s="2" t="s">
        <v>18</v>
      </c>
      <c r="H8" s="3" t="n">
        <f aca="false">E8*F8</f>
        <v>804.77</v>
      </c>
      <c r="I8" s="2" t="str">
        <f aca="false">TEXT(A8,"MMM YYYY")</f>
        <v>Jan 2025</v>
      </c>
    </row>
    <row r="9" customFormat="false" ht="15" hidden="false" customHeight="false" outlineLevel="0" collapsed="false">
      <c r="A9" s="2" t="s">
        <v>33</v>
      </c>
      <c r="B9" s="2" t="s">
        <v>23</v>
      </c>
      <c r="C9" s="2" t="s">
        <v>24</v>
      </c>
      <c r="D9" s="2" t="s">
        <v>34</v>
      </c>
      <c r="E9" s="2" t="n">
        <v>10</v>
      </c>
      <c r="F9" s="3" t="n">
        <v>6.99</v>
      </c>
      <c r="G9" s="2" t="s">
        <v>35</v>
      </c>
      <c r="H9" s="3" t="n">
        <f aca="false">E9*F9</f>
        <v>69.9</v>
      </c>
      <c r="I9" s="2" t="str">
        <f aca="false">TEXT(A9,"MMM YYYY")</f>
        <v>Jan 2025</v>
      </c>
    </row>
    <row r="10" customFormat="false" ht="15" hidden="false" customHeight="false" outlineLevel="0" collapsed="false">
      <c r="A10" s="2" t="s">
        <v>36</v>
      </c>
      <c r="B10" s="2" t="s">
        <v>23</v>
      </c>
      <c r="C10" s="2" t="s">
        <v>11</v>
      </c>
      <c r="D10" s="2" t="s">
        <v>37</v>
      </c>
      <c r="E10" s="2" t="n">
        <v>17</v>
      </c>
      <c r="F10" s="3" t="n">
        <v>349.99</v>
      </c>
      <c r="G10" s="2" t="s">
        <v>31</v>
      </c>
      <c r="H10" s="3" t="n">
        <f aca="false">E10*F10</f>
        <v>5949.83</v>
      </c>
      <c r="I10" s="2" t="str">
        <f aca="false">TEXT(A10,"MMM YYYY")</f>
        <v>Jan 2025</v>
      </c>
    </row>
    <row r="11" customFormat="false" ht="15" hidden="false" customHeight="false" outlineLevel="0" collapsed="false">
      <c r="A11" s="2" t="s">
        <v>36</v>
      </c>
      <c r="B11" s="2" t="s">
        <v>23</v>
      </c>
      <c r="C11" s="2" t="s">
        <v>11</v>
      </c>
      <c r="D11" s="2" t="s">
        <v>38</v>
      </c>
      <c r="E11" s="2" t="n">
        <v>14</v>
      </c>
      <c r="F11" s="3" t="n">
        <v>99.99</v>
      </c>
      <c r="G11" s="2" t="s">
        <v>39</v>
      </c>
      <c r="H11" s="3" t="n">
        <f aca="false">E11*F11</f>
        <v>1399.86</v>
      </c>
      <c r="I11" s="2" t="str">
        <f aca="false">TEXT(A11,"MMM YYYY")</f>
        <v>Jan 2025</v>
      </c>
    </row>
    <row r="12" customFormat="false" ht="15" hidden="false" customHeight="false" outlineLevel="0" collapsed="false">
      <c r="A12" s="2" t="s">
        <v>36</v>
      </c>
      <c r="B12" s="2" t="s">
        <v>15</v>
      </c>
      <c r="C12" s="2" t="s">
        <v>24</v>
      </c>
      <c r="D12" s="2" t="s">
        <v>40</v>
      </c>
      <c r="E12" s="2" t="n">
        <v>16</v>
      </c>
      <c r="F12" s="3" t="n">
        <v>12.99</v>
      </c>
      <c r="G12" s="2" t="s">
        <v>18</v>
      </c>
      <c r="H12" s="3" t="n">
        <f aca="false">E12*F12</f>
        <v>207.84</v>
      </c>
      <c r="I12" s="2" t="str">
        <f aca="false">TEXT(A12,"MMM YYYY")</f>
        <v>Jan 2025</v>
      </c>
    </row>
    <row r="13" customFormat="false" ht="15" hidden="false" customHeight="false" outlineLevel="0" collapsed="false">
      <c r="A13" s="2" t="s">
        <v>41</v>
      </c>
      <c r="B13" s="2" t="s">
        <v>15</v>
      </c>
      <c r="C13" s="2" t="s">
        <v>16</v>
      </c>
      <c r="D13" s="2" t="s">
        <v>42</v>
      </c>
      <c r="E13" s="2" t="n">
        <v>9</v>
      </c>
      <c r="F13" s="3" t="n">
        <v>649.99</v>
      </c>
      <c r="G13" s="2" t="s">
        <v>35</v>
      </c>
      <c r="H13" s="3" t="n">
        <f aca="false">E13*F13</f>
        <v>5849.91</v>
      </c>
      <c r="I13" s="2" t="str">
        <f aca="false">TEXT(A13,"MMM YYYY")</f>
        <v>Jan 2025</v>
      </c>
    </row>
    <row r="14" customFormat="false" ht="15" hidden="false" customHeight="false" outlineLevel="0" collapsed="false">
      <c r="A14" s="2" t="s">
        <v>43</v>
      </c>
      <c r="B14" s="2" t="s">
        <v>20</v>
      </c>
      <c r="C14" s="2" t="s">
        <v>29</v>
      </c>
      <c r="D14" s="2" t="s">
        <v>32</v>
      </c>
      <c r="E14" s="2" t="n">
        <v>17</v>
      </c>
      <c r="F14" s="3" t="n">
        <v>34.99</v>
      </c>
      <c r="G14" s="2" t="s">
        <v>31</v>
      </c>
      <c r="H14" s="3" t="n">
        <f aca="false">E14*F14</f>
        <v>594.83</v>
      </c>
      <c r="I14" s="2" t="str">
        <f aca="false">TEXT(A14,"MMM YYYY")</f>
        <v>Jan 2025</v>
      </c>
    </row>
    <row r="15" customFormat="false" ht="15" hidden="false" customHeight="false" outlineLevel="0" collapsed="false">
      <c r="A15" s="2" t="s">
        <v>44</v>
      </c>
      <c r="B15" s="2" t="s">
        <v>10</v>
      </c>
      <c r="C15" s="2" t="s">
        <v>24</v>
      </c>
      <c r="D15" s="2" t="s">
        <v>34</v>
      </c>
      <c r="E15" s="2" t="n">
        <v>12</v>
      </c>
      <c r="F15" s="3" t="n">
        <v>6.99</v>
      </c>
      <c r="G15" s="2" t="s">
        <v>18</v>
      </c>
      <c r="H15" s="3" t="n">
        <f aca="false">E15*F15</f>
        <v>83.88</v>
      </c>
      <c r="I15" s="2" t="str">
        <f aca="false">TEXT(A15,"MMM YYYY")</f>
        <v>Jan 2025</v>
      </c>
    </row>
    <row r="16" customFormat="false" ht="15" hidden="false" customHeight="false" outlineLevel="0" collapsed="false">
      <c r="A16" s="2" t="s">
        <v>44</v>
      </c>
      <c r="B16" s="2" t="s">
        <v>15</v>
      </c>
      <c r="C16" s="2" t="s">
        <v>16</v>
      </c>
      <c r="D16" s="2" t="s">
        <v>45</v>
      </c>
      <c r="E16" s="2" t="n">
        <v>3</v>
      </c>
      <c r="F16" s="3" t="n">
        <v>349.99</v>
      </c>
      <c r="G16" s="2" t="s">
        <v>35</v>
      </c>
      <c r="H16" s="3" t="n">
        <f aca="false">E16*F16</f>
        <v>1049.97</v>
      </c>
      <c r="I16" s="2" t="str">
        <f aca="false">TEXT(A16,"MMM YYYY")</f>
        <v>Jan 2025</v>
      </c>
    </row>
    <row r="17" customFormat="false" ht="15" hidden="false" customHeight="false" outlineLevel="0" collapsed="false">
      <c r="A17" s="2" t="s">
        <v>44</v>
      </c>
      <c r="B17" s="2" t="s">
        <v>10</v>
      </c>
      <c r="C17" s="2" t="s">
        <v>24</v>
      </c>
      <c r="D17" s="2" t="s">
        <v>27</v>
      </c>
      <c r="E17" s="2" t="n">
        <v>18</v>
      </c>
      <c r="F17" s="3" t="n">
        <v>4.99</v>
      </c>
      <c r="G17" s="2" t="s">
        <v>39</v>
      </c>
      <c r="H17" s="3" t="n">
        <f aca="false">E17*F17</f>
        <v>89.82</v>
      </c>
      <c r="I17" s="2" t="str">
        <f aca="false">TEXT(A17,"MMM YYYY")</f>
        <v>Jan 2025</v>
      </c>
    </row>
    <row r="18" customFormat="false" ht="15" hidden="false" customHeight="false" outlineLevel="0" collapsed="false">
      <c r="A18" s="2" t="s">
        <v>46</v>
      </c>
      <c r="B18" s="2" t="s">
        <v>10</v>
      </c>
      <c r="C18" s="2" t="s">
        <v>29</v>
      </c>
      <c r="D18" s="2" t="s">
        <v>32</v>
      </c>
      <c r="E18" s="2" t="n">
        <v>13</v>
      </c>
      <c r="F18" s="3" t="n">
        <v>34.99</v>
      </c>
      <c r="G18" s="2" t="s">
        <v>13</v>
      </c>
      <c r="H18" s="3" t="n">
        <f aca="false">E18*F18</f>
        <v>454.87</v>
      </c>
      <c r="I18" s="2" t="str">
        <f aca="false">TEXT(A18,"MMM YYYY")</f>
        <v>Jan 2025</v>
      </c>
    </row>
    <row r="19" customFormat="false" ht="15" hidden="false" customHeight="false" outlineLevel="0" collapsed="false">
      <c r="A19" s="2" t="s">
        <v>46</v>
      </c>
      <c r="B19" s="2" t="s">
        <v>15</v>
      </c>
      <c r="C19" s="2" t="s">
        <v>24</v>
      </c>
      <c r="D19" s="2" t="s">
        <v>25</v>
      </c>
      <c r="E19" s="2" t="n">
        <v>15</v>
      </c>
      <c r="F19" s="3" t="n">
        <v>8.99</v>
      </c>
      <c r="G19" s="2" t="s">
        <v>31</v>
      </c>
      <c r="H19" s="3" t="n">
        <f aca="false">E19*F19</f>
        <v>134.85</v>
      </c>
      <c r="I19" s="2" t="str">
        <f aca="false">TEXT(A19,"MMM YYYY")</f>
        <v>Jan 2025</v>
      </c>
    </row>
    <row r="20" customFormat="false" ht="15" hidden="false" customHeight="false" outlineLevel="0" collapsed="false">
      <c r="A20" s="2" t="s">
        <v>47</v>
      </c>
      <c r="B20" s="2" t="s">
        <v>15</v>
      </c>
      <c r="C20" s="2" t="s">
        <v>24</v>
      </c>
      <c r="D20" s="2" t="s">
        <v>34</v>
      </c>
      <c r="E20" s="2" t="n">
        <v>18</v>
      </c>
      <c r="F20" s="3" t="n">
        <v>6.99</v>
      </c>
      <c r="G20" s="2" t="s">
        <v>21</v>
      </c>
      <c r="H20" s="3" t="n">
        <f aca="false">E20*F20</f>
        <v>125.82</v>
      </c>
      <c r="I20" s="2" t="str">
        <f aca="false">TEXT(A20,"MMM YYYY")</f>
        <v>Jan 2025</v>
      </c>
    </row>
    <row r="21" customFormat="false" ht="15" hidden="false" customHeight="false" outlineLevel="0" collapsed="false">
      <c r="A21" s="2" t="s">
        <v>48</v>
      </c>
      <c r="B21" s="2" t="s">
        <v>23</v>
      </c>
      <c r="C21" s="2" t="s">
        <v>24</v>
      </c>
      <c r="D21" s="2" t="s">
        <v>27</v>
      </c>
      <c r="E21" s="2" t="n">
        <v>20</v>
      </c>
      <c r="F21" s="3" t="n">
        <v>4.99</v>
      </c>
      <c r="G21" s="2" t="s">
        <v>13</v>
      </c>
      <c r="H21" s="3" t="n">
        <f aca="false">E21*F21</f>
        <v>99.8</v>
      </c>
      <c r="I21" s="2" t="str">
        <f aca="false">TEXT(A21,"MMM YYYY")</f>
        <v>Jan 2025</v>
      </c>
    </row>
    <row r="22" customFormat="false" ht="15" hidden="false" customHeight="false" outlineLevel="0" collapsed="false">
      <c r="A22" s="2" t="s">
        <v>49</v>
      </c>
      <c r="B22" s="2" t="s">
        <v>15</v>
      </c>
      <c r="C22" s="2" t="s">
        <v>24</v>
      </c>
      <c r="D22" s="2" t="s">
        <v>25</v>
      </c>
      <c r="E22" s="2" t="n">
        <v>20</v>
      </c>
      <c r="F22" s="3" t="n">
        <v>8.99</v>
      </c>
      <c r="G22" s="2" t="s">
        <v>35</v>
      </c>
      <c r="H22" s="3" t="n">
        <f aca="false">E22*F22</f>
        <v>179.8</v>
      </c>
      <c r="I22" s="2" t="str">
        <f aca="false">TEXT(A22,"MMM YYYY")</f>
        <v>Jan 2025</v>
      </c>
    </row>
    <row r="23" customFormat="false" ht="15" hidden="false" customHeight="false" outlineLevel="0" collapsed="false">
      <c r="A23" s="2" t="s">
        <v>49</v>
      </c>
      <c r="B23" s="2" t="s">
        <v>23</v>
      </c>
      <c r="C23" s="2" t="s">
        <v>24</v>
      </c>
      <c r="D23" s="2" t="s">
        <v>27</v>
      </c>
      <c r="E23" s="2" t="n">
        <v>22</v>
      </c>
      <c r="F23" s="3" t="n">
        <v>4.99</v>
      </c>
      <c r="G23" s="2" t="s">
        <v>39</v>
      </c>
      <c r="H23" s="3" t="n">
        <f aca="false">E23*F23</f>
        <v>109.78</v>
      </c>
      <c r="I23" s="2" t="str">
        <f aca="false">TEXT(A23,"MMM YYYY")</f>
        <v>Jan 2025</v>
      </c>
    </row>
    <row r="24" customFormat="false" ht="15" hidden="false" customHeight="false" outlineLevel="0" collapsed="false">
      <c r="A24" s="2" t="s">
        <v>50</v>
      </c>
      <c r="B24" s="2" t="s">
        <v>10</v>
      </c>
      <c r="C24" s="2" t="s">
        <v>29</v>
      </c>
      <c r="D24" s="2" t="s">
        <v>51</v>
      </c>
      <c r="E24" s="2" t="n">
        <v>3</v>
      </c>
      <c r="F24" s="3" t="n">
        <v>119.99</v>
      </c>
      <c r="G24" s="2" t="s">
        <v>39</v>
      </c>
      <c r="H24" s="3" t="n">
        <f aca="false">E24*F24</f>
        <v>359.97</v>
      </c>
      <c r="I24" s="2" t="str">
        <f aca="false">TEXT(A24,"MMM YYYY")</f>
        <v>Jan 2025</v>
      </c>
    </row>
    <row r="25" customFormat="false" ht="15" hidden="false" customHeight="false" outlineLevel="0" collapsed="false">
      <c r="A25" s="2" t="s">
        <v>50</v>
      </c>
      <c r="B25" s="2" t="s">
        <v>20</v>
      </c>
      <c r="C25" s="2" t="s">
        <v>24</v>
      </c>
      <c r="D25" s="2" t="s">
        <v>25</v>
      </c>
      <c r="E25" s="2" t="n">
        <v>10</v>
      </c>
      <c r="F25" s="3" t="n">
        <v>8.99</v>
      </c>
      <c r="G25" s="2" t="s">
        <v>39</v>
      </c>
      <c r="H25" s="3" t="n">
        <f aca="false">E25*F25</f>
        <v>89.9</v>
      </c>
      <c r="I25" s="2" t="str">
        <f aca="false">TEXT(A25,"MMM YYYY")</f>
        <v>Jan 2025</v>
      </c>
    </row>
    <row r="26" customFormat="false" ht="15" hidden="false" customHeight="false" outlineLevel="0" collapsed="false">
      <c r="A26" s="2" t="s">
        <v>52</v>
      </c>
      <c r="B26" s="2" t="s">
        <v>20</v>
      </c>
      <c r="C26" s="2" t="s">
        <v>24</v>
      </c>
      <c r="D26" s="2" t="s">
        <v>27</v>
      </c>
      <c r="E26" s="2" t="n">
        <v>21</v>
      </c>
      <c r="F26" s="3" t="n">
        <v>4.99</v>
      </c>
      <c r="G26" s="2" t="s">
        <v>39</v>
      </c>
      <c r="H26" s="3" t="n">
        <f aca="false">E26*F26</f>
        <v>104.79</v>
      </c>
      <c r="I26" s="2" t="str">
        <f aca="false">TEXT(A26,"MMM YYYY")</f>
        <v>Jan 2025</v>
      </c>
    </row>
    <row r="27" customFormat="false" ht="15" hidden="false" customHeight="false" outlineLevel="0" collapsed="false">
      <c r="A27" s="2" t="s">
        <v>53</v>
      </c>
      <c r="B27" s="2" t="s">
        <v>23</v>
      </c>
      <c r="C27" s="2" t="s">
        <v>24</v>
      </c>
      <c r="D27" s="2" t="s">
        <v>34</v>
      </c>
      <c r="E27" s="2" t="n">
        <v>2</v>
      </c>
      <c r="F27" s="3" t="n">
        <v>6.99</v>
      </c>
      <c r="G27" s="2" t="s">
        <v>31</v>
      </c>
      <c r="H27" s="3" t="n">
        <f aca="false">E27*F27</f>
        <v>13.98</v>
      </c>
      <c r="I27" s="2" t="str">
        <f aca="false">TEXT(A27,"MMM YYYY")</f>
        <v>Jan 2025</v>
      </c>
    </row>
    <row r="28" customFormat="false" ht="15" hidden="false" customHeight="false" outlineLevel="0" collapsed="false">
      <c r="A28" s="2" t="s">
        <v>54</v>
      </c>
      <c r="B28" s="2" t="s">
        <v>20</v>
      </c>
      <c r="C28" s="2" t="s">
        <v>16</v>
      </c>
      <c r="D28" s="2" t="s">
        <v>17</v>
      </c>
      <c r="E28" s="2" t="n">
        <v>11</v>
      </c>
      <c r="F28" s="3" t="n">
        <v>899.99</v>
      </c>
      <c r="G28" s="2" t="s">
        <v>21</v>
      </c>
      <c r="H28" s="3" t="n">
        <f aca="false">E28*F28</f>
        <v>9899.89</v>
      </c>
      <c r="I28" s="2" t="str">
        <f aca="false">TEXT(A28,"MMM YYYY")</f>
        <v>Jan 2025</v>
      </c>
    </row>
    <row r="29" customFormat="false" ht="15" hidden="false" customHeight="false" outlineLevel="0" collapsed="false">
      <c r="A29" s="2" t="s">
        <v>54</v>
      </c>
      <c r="B29" s="2" t="s">
        <v>20</v>
      </c>
      <c r="C29" s="2" t="s">
        <v>29</v>
      </c>
      <c r="D29" s="2" t="s">
        <v>32</v>
      </c>
      <c r="E29" s="2" t="n">
        <v>16</v>
      </c>
      <c r="F29" s="3" t="n">
        <v>34.99</v>
      </c>
      <c r="G29" s="2" t="s">
        <v>39</v>
      </c>
      <c r="H29" s="3" t="n">
        <f aca="false">E29*F29</f>
        <v>559.84</v>
      </c>
      <c r="I29" s="2" t="str">
        <f aca="false">TEXT(A29,"MMM YYYY")</f>
        <v>Jan 2025</v>
      </c>
    </row>
    <row r="30" customFormat="false" ht="15" hidden="false" customHeight="false" outlineLevel="0" collapsed="false">
      <c r="A30" s="2" t="s">
        <v>55</v>
      </c>
      <c r="B30" s="2" t="s">
        <v>23</v>
      </c>
      <c r="C30" s="2" t="s">
        <v>29</v>
      </c>
      <c r="D30" s="2" t="s">
        <v>56</v>
      </c>
      <c r="E30" s="2" t="n">
        <v>6</v>
      </c>
      <c r="F30" s="3" t="n">
        <v>149.99</v>
      </c>
      <c r="G30" s="2" t="s">
        <v>39</v>
      </c>
      <c r="H30" s="3" t="n">
        <f aca="false">E30*F30</f>
        <v>899.94</v>
      </c>
      <c r="I30" s="2" t="str">
        <f aca="false">TEXT(A30,"MMM YYYY")</f>
        <v>Feb 2025</v>
      </c>
    </row>
    <row r="31" customFormat="false" ht="15" hidden="false" customHeight="false" outlineLevel="0" collapsed="false">
      <c r="A31" s="2" t="s">
        <v>57</v>
      </c>
      <c r="B31" s="2" t="s">
        <v>10</v>
      </c>
      <c r="C31" s="2" t="s">
        <v>29</v>
      </c>
      <c r="D31" s="2" t="s">
        <v>32</v>
      </c>
      <c r="E31" s="2" t="n">
        <v>17</v>
      </c>
      <c r="F31" s="3" t="n">
        <v>34.99</v>
      </c>
      <c r="G31" s="2" t="s">
        <v>39</v>
      </c>
      <c r="H31" s="3" t="n">
        <f aca="false">E31*F31</f>
        <v>594.83</v>
      </c>
      <c r="I31" s="2" t="str">
        <f aca="false">TEXT(A31,"MMM YYYY")</f>
        <v>Feb 2025</v>
      </c>
    </row>
    <row r="32" customFormat="false" ht="15" hidden="false" customHeight="false" outlineLevel="0" collapsed="false">
      <c r="A32" s="2" t="s">
        <v>58</v>
      </c>
      <c r="B32" s="2" t="s">
        <v>23</v>
      </c>
      <c r="C32" s="2" t="s">
        <v>11</v>
      </c>
      <c r="D32" s="2" t="s">
        <v>38</v>
      </c>
      <c r="E32" s="2" t="n">
        <v>4</v>
      </c>
      <c r="F32" s="3" t="n">
        <v>99.99</v>
      </c>
      <c r="G32" s="2" t="s">
        <v>31</v>
      </c>
      <c r="H32" s="3" t="n">
        <f aca="false">E32*F32</f>
        <v>399.96</v>
      </c>
      <c r="I32" s="2" t="str">
        <f aca="false">TEXT(A32,"MMM YYYY")</f>
        <v>Feb 2025</v>
      </c>
    </row>
    <row r="33" customFormat="false" ht="15" hidden="false" customHeight="false" outlineLevel="0" collapsed="false">
      <c r="A33" s="2" t="s">
        <v>58</v>
      </c>
      <c r="B33" s="2" t="s">
        <v>10</v>
      </c>
      <c r="C33" s="2" t="s">
        <v>16</v>
      </c>
      <c r="D33" s="2" t="s">
        <v>45</v>
      </c>
      <c r="E33" s="2" t="n">
        <v>16</v>
      </c>
      <c r="F33" s="3" t="n">
        <v>349.99</v>
      </c>
      <c r="G33" s="2" t="s">
        <v>21</v>
      </c>
      <c r="H33" s="3" t="n">
        <f aca="false">E33*F33</f>
        <v>5599.84</v>
      </c>
      <c r="I33" s="2" t="str">
        <f aca="false">TEXT(A33,"MMM YYYY")</f>
        <v>Feb 2025</v>
      </c>
    </row>
    <row r="34" customFormat="false" ht="15" hidden="false" customHeight="false" outlineLevel="0" collapsed="false">
      <c r="A34" s="2" t="s">
        <v>58</v>
      </c>
      <c r="B34" s="2" t="s">
        <v>15</v>
      </c>
      <c r="C34" s="2" t="s">
        <v>16</v>
      </c>
      <c r="D34" s="2" t="s">
        <v>42</v>
      </c>
      <c r="E34" s="2" t="n">
        <v>14</v>
      </c>
      <c r="F34" s="3" t="n">
        <v>649.99</v>
      </c>
      <c r="G34" s="2" t="s">
        <v>18</v>
      </c>
      <c r="H34" s="3" t="n">
        <f aca="false">E34*F34</f>
        <v>9099.86</v>
      </c>
      <c r="I34" s="2" t="str">
        <f aca="false">TEXT(A34,"MMM YYYY")</f>
        <v>Feb 2025</v>
      </c>
    </row>
    <row r="35" customFormat="false" ht="15" hidden="false" customHeight="false" outlineLevel="0" collapsed="false">
      <c r="A35" s="2" t="s">
        <v>59</v>
      </c>
      <c r="B35" s="2" t="s">
        <v>23</v>
      </c>
      <c r="C35" s="2" t="s">
        <v>24</v>
      </c>
      <c r="D35" s="2" t="s">
        <v>25</v>
      </c>
      <c r="E35" s="2" t="n">
        <v>3</v>
      </c>
      <c r="F35" s="3" t="n">
        <v>8.99</v>
      </c>
      <c r="G35" s="2" t="s">
        <v>18</v>
      </c>
      <c r="H35" s="3" t="n">
        <f aca="false">E35*F35</f>
        <v>26.97</v>
      </c>
      <c r="I35" s="2" t="str">
        <f aca="false">TEXT(A35,"MMM YYYY")</f>
        <v>Feb 2025</v>
      </c>
    </row>
    <row r="36" customFormat="false" ht="15" hidden="false" customHeight="false" outlineLevel="0" collapsed="false">
      <c r="A36" s="2" t="s">
        <v>59</v>
      </c>
      <c r="B36" s="2" t="s">
        <v>15</v>
      </c>
      <c r="C36" s="2" t="s">
        <v>29</v>
      </c>
      <c r="D36" s="2" t="s">
        <v>56</v>
      </c>
      <c r="E36" s="2" t="n">
        <v>20</v>
      </c>
      <c r="F36" s="3" t="n">
        <v>149.99</v>
      </c>
      <c r="G36" s="2" t="s">
        <v>13</v>
      </c>
      <c r="H36" s="3" t="n">
        <f aca="false">E36*F36</f>
        <v>2999.8</v>
      </c>
      <c r="I36" s="2" t="str">
        <f aca="false">TEXT(A36,"MMM YYYY")</f>
        <v>Feb 2025</v>
      </c>
    </row>
    <row r="37" customFormat="false" ht="15" hidden="false" customHeight="false" outlineLevel="0" collapsed="false">
      <c r="A37" s="2" t="s">
        <v>60</v>
      </c>
      <c r="B37" s="2" t="s">
        <v>20</v>
      </c>
      <c r="C37" s="2" t="s">
        <v>16</v>
      </c>
      <c r="D37" s="2" t="s">
        <v>42</v>
      </c>
      <c r="E37" s="2" t="n">
        <v>22</v>
      </c>
      <c r="F37" s="3" t="n">
        <v>649.99</v>
      </c>
      <c r="G37" s="2" t="s">
        <v>31</v>
      </c>
      <c r="H37" s="3" t="n">
        <f aca="false">E37*F37</f>
        <v>14299.78</v>
      </c>
      <c r="I37" s="2" t="str">
        <f aca="false">TEXT(A37,"MMM YYYY")</f>
        <v>Feb 2025</v>
      </c>
    </row>
    <row r="38" customFormat="false" ht="15" hidden="false" customHeight="false" outlineLevel="0" collapsed="false">
      <c r="A38" s="2" t="s">
        <v>60</v>
      </c>
      <c r="B38" s="2" t="s">
        <v>15</v>
      </c>
      <c r="C38" s="2" t="s">
        <v>24</v>
      </c>
      <c r="D38" s="2" t="s">
        <v>40</v>
      </c>
      <c r="E38" s="2" t="n">
        <v>20</v>
      </c>
      <c r="F38" s="3" t="n">
        <v>12.99</v>
      </c>
      <c r="G38" s="2" t="s">
        <v>13</v>
      </c>
      <c r="H38" s="3" t="n">
        <f aca="false">E38*F38</f>
        <v>259.8</v>
      </c>
      <c r="I38" s="2" t="str">
        <f aca="false">TEXT(A38,"MMM YYYY")</f>
        <v>Feb 2025</v>
      </c>
    </row>
    <row r="39" customFormat="false" ht="15" hidden="false" customHeight="false" outlineLevel="0" collapsed="false">
      <c r="A39" s="2" t="s">
        <v>61</v>
      </c>
      <c r="B39" s="2" t="s">
        <v>23</v>
      </c>
      <c r="C39" s="2" t="s">
        <v>29</v>
      </c>
      <c r="D39" s="2" t="s">
        <v>51</v>
      </c>
      <c r="E39" s="2" t="n">
        <v>25</v>
      </c>
      <c r="F39" s="3" t="n">
        <v>119.99</v>
      </c>
      <c r="G39" s="2" t="s">
        <v>31</v>
      </c>
      <c r="H39" s="3" t="n">
        <f aca="false">E39*F39</f>
        <v>2999.75</v>
      </c>
      <c r="I39" s="2" t="str">
        <f aca="false">TEXT(A39,"MMM YYYY")</f>
        <v>Feb 2025</v>
      </c>
    </row>
    <row r="40" customFormat="false" ht="15" hidden="false" customHeight="false" outlineLevel="0" collapsed="false">
      <c r="A40" s="2" t="s">
        <v>61</v>
      </c>
      <c r="B40" s="2" t="s">
        <v>23</v>
      </c>
      <c r="C40" s="2" t="s">
        <v>24</v>
      </c>
      <c r="D40" s="2" t="s">
        <v>25</v>
      </c>
      <c r="E40" s="2" t="n">
        <v>5</v>
      </c>
      <c r="F40" s="3" t="n">
        <v>8.99</v>
      </c>
      <c r="G40" s="2" t="s">
        <v>31</v>
      </c>
      <c r="H40" s="3" t="n">
        <f aca="false">E40*F40</f>
        <v>44.95</v>
      </c>
      <c r="I40" s="2" t="str">
        <f aca="false">TEXT(A40,"MMM YYYY")</f>
        <v>Feb 2025</v>
      </c>
    </row>
    <row r="41" customFormat="false" ht="15" hidden="false" customHeight="false" outlineLevel="0" collapsed="false">
      <c r="A41" s="2" t="s">
        <v>62</v>
      </c>
      <c r="B41" s="2" t="s">
        <v>20</v>
      </c>
      <c r="C41" s="2" t="s">
        <v>11</v>
      </c>
      <c r="D41" s="2" t="s">
        <v>37</v>
      </c>
      <c r="E41" s="2" t="n">
        <v>13</v>
      </c>
      <c r="F41" s="3" t="n">
        <v>349.99</v>
      </c>
      <c r="G41" s="2" t="s">
        <v>13</v>
      </c>
      <c r="H41" s="3" t="n">
        <f aca="false">E41*F41</f>
        <v>4549.87</v>
      </c>
      <c r="I41" s="2" t="str">
        <f aca="false">TEXT(A41,"MMM YYYY")</f>
        <v>Feb 2025</v>
      </c>
    </row>
    <row r="42" customFormat="false" ht="15" hidden="false" customHeight="false" outlineLevel="0" collapsed="false">
      <c r="A42" s="2" t="s">
        <v>63</v>
      </c>
      <c r="B42" s="2" t="s">
        <v>15</v>
      </c>
      <c r="C42" s="2" t="s">
        <v>16</v>
      </c>
      <c r="D42" s="2" t="s">
        <v>64</v>
      </c>
      <c r="E42" s="2" t="n">
        <v>5</v>
      </c>
      <c r="F42" s="3" t="n">
        <v>79.99</v>
      </c>
      <c r="G42" s="2" t="s">
        <v>39</v>
      </c>
      <c r="H42" s="3" t="n">
        <f aca="false">E42*F42</f>
        <v>399.95</v>
      </c>
      <c r="I42" s="2" t="str">
        <f aca="false">TEXT(A42,"MMM YYYY")</f>
        <v>Feb 2025</v>
      </c>
    </row>
    <row r="43" customFormat="false" ht="15" hidden="false" customHeight="false" outlineLevel="0" collapsed="false">
      <c r="A43" s="2" t="s">
        <v>65</v>
      </c>
      <c r="B43" s="2" t="s">
        <v>10</v>
      </c>
      <c r="C43" s="2" t="s">
        <v>11</v>
      </c>
      <c r="D43" s="2" t="s">
        <v>38</v>
      </c>
      <c r="E43" s="2" t="n">
        <v>23</v>
      </c>
      <c r="F43" s="3" t="n">
        <v>99.99</v>
      </c>
      <c r="G43" s="2" t="s">
        <v>18</v>
      </c>
      <c r="H43" s="3" t="n">
        <f aca="false">E43*F43</f>
        <v>2299.77</v>
      </c>
      <c r="I43" s="2" t="str">
        <f aca="false">TEXT(A43,"MMM YYYY")</f>
        <v>Feb 2025</v>
      </c>
    </row>
    <row r="44" customFormat="false" ht="15" hidden="false" customHeight="false" outlineLevel="0" collapsed="false">
      <c r="A44" s="2" t="s">
        <v>65</v>
      </c>
      <c r="B44" s="2" t="s">
        <v>20</v>
      </c>
      <c r="C44" s="2" t="s">
        <v>16</v>
      </c>
      <c r="D44" s="2" t="s">
        <v>45</v>
      </c>
      <c r="E44" s="2" t="n">
        <v>4</v>
      </c>
      <c r="F44" s="3" t="n">
        <v>349.99</v>
      </c>
      <c r="G44" s="2" t="s">
        <v>13</v>
      </c>
      <c r="H44" s="3" t="n">
        <f aca="false">E44*F44</f>
        <v>1399.96</v>
      </c>
      <c r="I44" s="2" t="str">
        <f aca="false">TEXT(A44,"MMM YYYY")</f>
        <v>Feb 2025</v>
      </c>
    </row>
    <row r="45" customFormat="false" ht="15" hidden="false" customHeight="false" outlineLevel="0" collapsed="false">
      <c r="A45" s="2" t="s">
        <v>65</v>
      </c>
      <c r="B45" s="2" t="s">
        <v>20</v>
      </c>
      <c r="C45" s="2" t="s">
        <v>11</v>
      </c>
      <c r="D45" s="2" t="s">
        <v>37</v>
      </c>
      <c r="E45" s="2" t="n">
        <v>22</v>
      </c>
      <c r="F45" s="3" t="n">
        <v>349.99</v>
      </c>
      <c r="G45" s="2" t="s">
        <v>31</v>
      </c>
      <c r="H45" s="3" t="n">
        <f aca="false">E45*F45</f>
        <v>7699.78</v>
      </c>
      <c r="I45" s="2" t="str">
        <f aca="false">TEXT(A45,"MMM YYYY")</f>
        <v>Feb 2025</v>
      </c>
    </row>
    <row r="46" customFormat="false" ht="15" hidden="false" customHeight="false" outlineLevel="0" collapsed="false">
      <c r="A46" s="2" t="s">
        <v>66</v>
      </c>
      <c r="B46" s="2" t="s">
        <v>23</v>
      </c>
      <c r="C46" s="2" t="s">
        <v>29</v>
      </c>
      <c r="D46" s="2" t="s">
        <v>56</v>
      </c>
      <c r="E46" s="2" t="n">
        <v>14</v>
      </c>
      <c r="F46" s="3" t="n">
        <v>149.99</v>
      </c>
      <c r="G46" s="2" t="s">
        <v>39</v>
      </c>
      <c r="H46" s="3" t="n">
        <f aca="false">E46*F46</f>
        <v>2099.86</v>
      </c>
      <c r="I46" s="2" t="str">
        <f aca="false">TEXT(A46,"MMM YYYY")</f>
        <v>Feb 2025</v>
      </c>
    </row>
    <row r="47" customFormat="false" ht="15" hidden="false" customHeight="false" outlineLevel="0" collapsed="false">
      <c r="A47" s="2" t="s">
        <v>66</v>
      </c>
      <c r="B47" s="2" t="s">
        <v>15</v>
      </c>
      <c r="C47" s="2" t="s">
        <v>24</v>
      </c>
      <c r="D47" s="2" t="s">
        <v>40</v>
      </c>
      <c r="E47" s="2" t="n">
        <v>24</v>
      </c>
      <c r="F47" s="3" t="n">
        <v>12.99</v>
      </c>
      <c r="G47" s="2" t="s">
        <v>13</v>
      </c>
      <c r="H47" s="3" t="n">
        <f aca="false">E47*F47</f>
        <v>311.76</v>
      </c>
      <c r="I47" s="2" t="str">
        <f aca="false">TEXT(A47,"MMM YYYY")</f>
        <v>Feb 2025</v>
      </c>
    </row>
    <row r="48" customFormat="false" ht="15" hidden="false" customHeight="false" outlineLevel="0" collapsed="false">
      <c r="A48" s="2" t="s">
        <v>67</v>
      </c>
      <c r="B48" s="2" t="s">
        <v>10</v>
      </c>
      <c r="C48" s="2" t="s">
        <v>24</v>
      </c>
      <c r="D48" s="2" t="s">
        <v>40</v>
      </c>
      <c r="E48" s="2" t="n">
        <v>2</v>
      </c>
      <c r="F48" s="3" t="n">
        <v>12.99</v>
      </c>
      <c r="G48" s="2" t="s">
        <v>13</v>
      </c>
      <c r="H48" s="3" t="n">
        <f aca="false">E48*F48</f>
        <v>25.98</v>
      </c>
      <c r="I48" s="2" t="str">
        <f aca="false">TEXT(A48,"MMM YYYY")</f>
        <v>Feb 2025</v>
      </c>
    </row>
    <row r="49" customFormat="false" ht="15" hidden="false" customHeight="false" outlineLevel="0" collapsed="false">
      <c r="A49" s="2" t="s">
        <v>68</v>
      </c>
      <c r="B49" s="2" t="s">
        <v>20</v>
      </c>
      <c r="C49" s="2" t="s">
        <v>11</v>
      </c>
      <c r="D49" s="2" t="s">
        <v>12</v>
      </c>
      <c r="E49" s="2" t="n">
        <v>22</v>
      </c>
      <c r="F49" s="3" t="n">
        <v>129.99</v>
      </c>
      <c r="G49" s="2" t="s">
        <v>21</v>
      </c>
      <c r="H49" s="3" t="n">
        <f aca="false">E49*F49</f>
        <v>2859.78</v>
      </c>
      <c r="I49" s="2" t="str">
        <f aca="false">TEXT(A49,"MMM YYYY")</f>
        <v>Feb 2025</v>
      </c>
    </row>
    <row r="50" customFormat="false" ht="15" hidden="false" customHeight="false" outlineLevel="0" collapsed="false">
      <c r="A50" s="2" t="s">
        <v>69</v>
      </c>
      <c r="B50" s="2" t="s">
        <v>23</v>
      </c>
      <c r="C50" s="2" t="s">
        <v>24</v>
      </c>
      <c r="D50" s="2" t="s">
        <v>25</v>
      </c>
      <c r="E50" s="2" t="n">
        <v>20</v>
      </c>
      <c r="F50" s="3" t="n">
        <v>8.99</v>
      </c>
      <c r="G50" s="2" t="s">
        <v>39</v>
      </c>
      <c r="H50" s="3" t="n">
        <f aca="false">E50*F50</f>
        <v>179.8</v>
      </c>
      <c r="I50" s="2" t="str">
        <f aca="false">TEXT(A50,"MMM YYYY")</f>
        <v>Feb 2025</v>
      </c>
    </row>
    <row r="51" customFormat="false" ht="15" hidden="false" customHeight="false" outlineLevel="0" collapsed="false">
      <c r="A51" s="2" t="s">
        <v>70</v>
      </c>
      <c r="B51" s="2" t="s">
        <v>10</v>
      </c>
      <c r="C51" s="2" t="s">
        <v>16</v>
      </c>
      <c r="D51" s="2" t="s">
        <v>71</v>
      </c>
      <c r="E51" s="2" t="n">
        <v>21</v>
      </c>
      <c r="F51" s="3" t="n">
        <v>229.99</v>
      </c>
      <c r="G51" s="2" t="s">
        <v>18</v>
      </c>
      <c r="H51" s="3" t="n">
        <f aca="false">E51*F51</f>
        <v>4829.79</v>
      </c>
      <c r="I51" s="2" t="str">
        <f aca="false">TEXT(A51,"MMM YYYY")</f>
        <v>Feb 2025</v>
      </c>
    </row>
    <row r="52" customFormat="false" ht="15" hidden="false" customHeight="false" outlineLevel="0" collapsed="false">
      <c r="A52" s="2" t="s">
        <v>72</v>
      </c>
      <c r="B52" s="2" t="s">
        <v>10</v>
      </c>
      <c r="C52" s="2" t="s">
        <v>11</v>
      </c>
      <c r="D52" s="2" t="s">
        <v>38</v>
      </c>
      <c r="E52" s="2" t="n">
        <v>4</v>
      </c>
      <c r="F52" s="3" t="n">
        <v>99.99</v>
      </c>
      <c r="G52" s="2" t="s">
        <v>35</v>
      </c>
      <c r="H52" s="3" t="n">
        <f aca="false">E52*F52</f>
        <v>399.96</v>
      </c>
      <c r="I52" s="2" t="str">
        <f aca="false">TEXT(A52,"MMM YYYY")</f>
        <v>Feb 2025</v>
      </c>
    </row>
    <row r="53" customFormat="false" ht="15" hidden="false" customHeight="false" outlineLevel="0" collapsed="false">
      <c r="A53" s="2" t="s">
        <v>73</v>
      </c>
      <c r="B53" s="2" t="s">
        <v>10</v>
      </c>
      <c r="C53" s="2" t="s">
        <v>11</v>
      </c>
      <c r="D53" s="2" t="s">
        <v>38</v>
      </c>
      <c r="E53" s="2" t="n">
        <v>21</v>
      </c>
      <c r="F53" s="3" t="n">
        <v>99.99</v>
      </c>
      <c r="G53" s="2" t="s">
        <v>35</v>
      </c>
      <c r="H53" s="3" t="n">
        <f aca="false">E53*F53</f>
        <v>2099.79</v>
      </c>
      <c r="I53" s="2" t="str">
        <f aca="false">TEXT(A53,"MMM YYYY")</f>
        <v>Feb 2025</v>
      </c>
    </row>
    <row r="54" customFormat="false" ht="15" hidden="false" customHeight="false" outlineLevel="0" collapsed="false">
      <c r="A54" s="2" t="s">
        <v>73</v>
      </c>
      <c r="B54" s="2" t="s">
        <v>23</v>
      </c>
      <c r="C54" s="2" t="s">
        <v>29</v>
      </c>
      <c r="D54" s="2" t="s">
        <v>51</v>
      </c>
      <c r="E54" s="2" t="n">
        <v>8</v>
      </c>
      <c r="F54" s="3" t="n">
        <v>119.99</v>
      </c>
      <c r="G54" s="2" t="s">
        <v>18</v>
      </c>
      <c r="H54" s="3" t="n">
        <f aca="false">E54*F54</f>
        <v>959.92</v>
      </c>
      <c r="I54" s="2" t="str">
        <f aca="false">TEXT(A54,"MMM YYYY")</f>
        <v>Feb 2025</v>
      </c>
    </row>
    <row r="55" customFormat="false" ht="15" hidden="false" customHeight="false" outlineLevel="0" collapsed="false">
      <c r="A55" s="2" t="s">
        <v>74</v>
      </c>
      <c r="B55" s="2" t="s">
        <v>10</v>
      </c>
      <c r="C55" s="2" t="s">
        <v>24</v>
      </c>
      <c r="D55" s="2" t="s">
        <v>34</v>
      </c>
      <c r="E55" s="2" t="n">
        <v>10</v>
      </c>
      <c r="F55" s="3" t="n">
        <v>6.99</v>
      </c>
      <c r="G55" s="2" t="s">
        <v>39</v>
      </c>
      <c r="H55" s="3" t="n">
        <f aca="false">E55*F55</f>
        <v>69.9</v>
      </c>
      <c r="I55" s="2" t="str">
        <f aca="false">TEXT(A55,"MMM YYYY")</f>
        <v>Feb 2025</v>
      </c>
    </row>
    <row r="56" customFormat="false" ht="15" hidden="false" customHeight="false" outlineLevel="0" collapsed="false">
      <c r="A56" s="2" t="s">
        <v>74</v>
      </c>
      <c r="B56" s="2" t="s">
        <v>20</v>
      </c>
      <c r="C56" s="2" t="s">
        <v>29</v>
      </c>
      <c r="D56" s="2" t="s">
        <v>56</v>
      </c>
      <c r="E56" s="2" t="n">
        <v>25</v>
      </c>
      <c r="F56" s="3" t="n">
        <v>149.99</v>
      </c>
      <c r="G56" s="2" t="s">
        <v>35</v>
      </c>
      <c r="H56" s="3" t="n">
        <f aca="false">E56*F56</f>
        <v>3749.75</v>
      </c>
      <c r="I56" s="2" t="str">
        <f aca="false">TEXT(A56,"MMM YYYY")</f>
        <v>Feb 2025</v>
      </c>
    </row>
    <row r="57" customFormat="false" ht="15" hidden="false" customHeight="false" outlineLevel="0" collapsed="false">
      <c r="A57" s="2" t="s">
        <v>74</v>
      </c>
      <c r="B57" s="2" t="s">
        <v>10</v>
      </c>
      <c r="C57" s="2" t="s">
        <v>29</v>
      </c>
      <c r="D57" s="2" t="s">
        <v>51</v>
      </c>
      <c r="E57" s="2" t="n">
        <v>10</v>
      </c>
      <c r="F57" s="3" t="n">
        <v>119.99</v>
      </c>
      <c r="G57" s="2" t="s">
        <v>13</v>
      </c>
      <c r="H57" s="3" t="n">
        <f aca="false">E57*F57</f>
        <v>1199.9</v>
      </c>
      <c r="I57" s="2" t="str">
        <f aca="false">TEXT(A57,"MMM YYYY")</f>
        <v>Feb 2025</v>
      </c>
    </row>
    <row r="58" customFormat="false" ht="15" hidden="false" customHeight="false" outlineLevel="0" collapsed="false">
      <c r="A58" s="2" t="s">
        <v>75</v>
      </c>
      <c r="B58" s="2" t="s">
        <v>23</v>
      </c>
      <c r="C58" s="2" t="s">
        <v>11</v>
      </c>
      <c r="D58" s="2" t="s">
        <v>12</v>
      </c>
      <c r="E58" s="2" t="n">
        <v>10</v>
      </c>
      <c r="F58" s="3" t="n">
        <v>129.99</v>
      </c>
      <c r="G58" s="2" t="s">
        <v>31</v>
      </c>
      <c r="H58" s="3" t="n">
        <f aca="false">E58*F58</f>
        <v>1299.9</v>
      </c>
      <c r="I58" s="2" t="str">
        <f aca="false">TEXT(A58,"MMM YYYY")</f>
        <v>Mar 2025</v>
      </c>
    </row>
    <row r="59" customFormat="false" ht="15" hidden="false" customHeight="false" outlineLevel="0" collapsed="false">
      <c r="A59" s="2" t="s">
        <v>75</v>
      </c>
      <c r="B59" s="2" t="s">
        <v>15</v>
      </c>
      <c r="C59" s="2" t="s">
        <v>16</v>
      </c>
      <c r="D59" s="2" t="s">
        <v>71</v>
      </c>
      <c r="E59" s="2" t="n">
        <v>15</v>
      </c>
      <c r="F59" s="3" t="n">
        <v>229.99</v>
      </c>
      <c r="G59" s="2" t="s">
        <v>39</v>
      </c>
      <c r="H59" s="3" t="n">
        <f aca="false">E59*F59</f>
        <v>3449.85</v>
      </c>
      <c r="I59" s="2" t="str">
        <f aca="false">TEXT(A59,"MMM YYYY")</f>
        <v>Mar 2025</v>
      </c>
    </row>
    <row r="60" customFormat="false" ht="15" hidden="false" customHeight="false" outlineLevel="0" collapsed="false">
      <c r="A60" s="2" t="s">
        <v>76</v>
      </c>
      <c r="B60" s="2" t="s">
        <v>23</v>
      </c>
      <c r="C60" s="2" t="s">
        <v>24</v>
      </c>
      <c r="D60" s="2" t="s">
        <v>27</v>
      </c>
      <c r="E60" s="2" t="n">
        <v>22</v>
      </c>
      <c r="F60" s="3" t="n">
        <v>4.99</v>
      </c>
      <c r="G60" s="2" t="s">
        <v>35</v>
      </c>
      <c r="H60" s="3" t="n">
        <f aca="false">E60*F60</f>
        <v>109.78</v>
      </c>
      <c r="I60" s="2" t="str">
        <f aca="false">TEXT(A60,"MMM YYYY")</f>
        <v>Mar 2025</v>
      </c>
    </row>
    <row r="61" customFormat="false" ht="15" hidden="false" customHeight="false" outlineLevel="0" collapsed="false">
      <c r="A61" s="2" t="s">
        <v>77</v>
      </c>
      <c r="B61" s="2" t="s">
        <v>23</v>
      </c>
      <c r="C61" s="2" t="s">
        <v>11</v>
      </c>
      <c r="D61" s="2" t="s">
        <v>38</v>
      </c>
      <c r="E61" s="2" t="n">
        <v>21</v>
      </c>
      <c r="F61" s="3" t="n">
        <v>99.99</v>
      </c>
      <c r="G61" s="2" t="s">
        <v>31</v>
      </c>
      <c r="H61" s="3" t="n">
        <f aca="false">E61*F61</f>
        <v>2099.79</v>
      </c>
      <c r="I61" s="2" t="str">
        <f aca="false">TEXT(A61,"MMM YYYY")</f>
        <v>Mar 2025</v>
      </c>
    </row>
    <row r="62" customFormat="false" ht="15" hidden="false" customHeight="false" outlineLevel="0" collapsed="false">
      <c r="A62" s="2" t="s">
        <v>78</v>
      </c>
      <c r="B62" s="2" t="s">
        <v>20</v>
      </c>
      <c r="C62" s="2" t="s">
        <v>24</v>
      </c>
      <c r="D62" s="2" t="s">
        <v>25</v>
      </c>
      <c r="E62" s="2" t="n">
        <v>6</v>
      </c>
      <c r="F62" s="3" t="n">
        <v>8.99</v>
      </c>
      <c r="G62" s="2" t="s">
        <v>35</v>
      </c>
      <c r="H62" s="3" t="n">
        <f aca="false">E62*F62</f>
        <v>53.94</v>
      </c>
      <c r="I62" s="2" t="str">
        <f aca="false">TEXT(A62,"MMM YYYY")</f>
        <v>Mar 2025</v>
      </c>
    </row>
    <row r="63" customFormat="false" ht="15" hidden="false" customHeight="false" outlineLevel="0" collapsed="false">
      <c r="A63" s="2" t="s">
        <v>79</v>
      </c>
      <c r="B63" s="2" t="s">
        <v>20</v>
      </c>
      <c r="C63" s="2" t="s">
        <v>29</v>
      </c>
      <c r="D63" s="2" t="s">
        <v>30</v>
      </c>
      <c r="E63" s="2" t="n">
        <v>9</v>
      </c>
      <c r="F63" s="3" t="n">
        <v>59.99</v>
      </c>
      <c r="G63" s="2" t="s">
        <v>31</v>
      </c>
      <c r="H63" s="3" t="n">
        <f aca="false">E63*F63</f>
        <v>539.91</v>
      </c>
      <c r="I63" s="2" t="str">
        <f aca="false">TEXT(A63,"MMM YYYY")</f>
        <v>Mar 2025</v>
      </c>
    </row>
    <row r="64" customFormat="false" ht="15" hidden="false" customHeight="false" outlineLevel="0" collapsed="false">
      <c r="A64" s="2" t="s">
        <v>79</v>
      </c>
      <c r="B64" s="2" t="s">
        <v>10</v>
      </c>
      <c r="C64" s="2" t="s">
        <v>16</v>
      </c>
      <c r="D64" s="2" t="s">
        <v>17</v>
      </c>
      <c r="E64" s="2" t="n">
        <v>18</v>
      </c>
      <c r="F64" s="3" t="n">
        <v>899.99</v>
      </c>
      <c r="G64" s="2" t="s">
        <v>35</v>
      </c>
      <c r="H64" s="3" t="n">
        <f aca="false">E64*F64</f>
        <v>16199.82</v>
      </c>
      <c r="I64" s="2" t="str">
        <f aca="false">TEXT(A64,"MMM YYYY")</f>
        <v>Mar 2025</v>
      </c>
    </row>
    <row r="65" customFormat="false" ht="15" hidden="false" customHeight="false" outlineLevel="0" collapsed="false">
      <c r="A65" s="2" t="s">
        <v>79</v>
      </c>
      <c r="B65" s="2" t="s">
        <v>15</v>
      </c>
      <c r="C65" s="2" t="s">
        <v>16</v>
      </c>
      <c r="D65" s="2" t="s">
        <v>17</v>
      </c>
      <c r="E65" s="2" t="n">
        <v>16</v>
      </c>
      <c r="F65" s="3" t="n">
        <v>899.99</v>
      </c>
      <c r="G65" s="2" t="s">
        <v>39</v>
      </c>
      <c r="H65" s="3" t="n">
        <f aca="false">E65*F65</f>
        <v>14399.84</v>
      </c>
      <c r="I65" s="2" t="str">
        <f aca="false">TEXT(A65,"MMM YYYY")</f>
        <v>Mar 2025</v>
      </c>
    </row>
    <row r="66" customFormat="false" ht="15" hidden="false" customHeight="false" outlineLevel="0" collapsed="false">
      <c r="A66" s="2" t="s">
        <v>80</v>
      </c>
      <c r="B66" s="2" t="s">
        <v>23</v>
      </c>
      <c r="C66" s="2" t="s">
        <v>29</v>
      </c>
      <c r="D66" s="2" t="s">
        <v>56</v>
      </c>
      <c r="E66" s="2" t="n">
        <v>1</v>
      </c>
      <c r="F66" s="3" t="n">
        <v>149.99</v>
      </c>
      <c r="G66" s="2" t="s">
        <v>35</v>
      </c>
      <c r="H66" s="3" t="n">
        <f aca="false">E66*F66</f>
        <v>149.99</v>
      </c>
      <c r="I66" s="2" t="str">
        <f aca="false">TEXT(A66,"MMM YYYY")</f>
        <v>Mar 2025</v>
      </c>
    </row>
    <row r="67" customFormat="false" ht="15" hidden="false" customHeight="false" outlineLevel="0" collapsed="false">
      <c r="A67" s="2" t="s">
        <v>81</v>
      </c>
      <c r="B67" s="2" t="s">
        <v>15</v>
      </c>
      <c r="C67" s="2" t="s">
        <v>11</v>
      </c>
      <c r="D67" s="2" t="s">
        <v>38</v>
      </c>
      <c r="E67" s="2" t="n">
        <v>14</v>
      </c>
      <c r="F67" s="3" t="n">
        <v>99.99</v>
      </c>
      <c r="G67" s="2" t="s">
        <v>18</v>
      </c>
      <c r="H67" s="3" t="n">
        <f aca="false">E67*F67</f>
        <v>1399.86</v>
      </c>
      <c r="I67" s="2" t="str">
        <f aca="false">TEXT(A67,"MMM YYYY")</f>
        <v>Mar 2025</v>
      </c>
    </row>
    <row r="68" customFormat="false" ht="15" hidden="false" customHeight="false" outlineLevel="0" collapsed="false">
      <c r="A68" s="2" t="s">
        <v>82</v>
      </c>
      <c r="B68" s="2" t="s">
        <v>23</v>
      </c>
      <c r="C68" s="2" t="s">
        <v>24</v>
      </c>
      <c r="D68" s="2" t="s">
        <v>40</v>
      </c>
      <c r="E68" s="2" t="n">
        <v>21</v>
      </c>
      <c r="F68" s="3" t="n">
        <v>12.99</v>
      </c>
      <c r="G68" s="2" t="s">
        <v>18</v>
      </c>
      <c r="H68" s="3" t="n">
        <f aca="false">E68*F68</f>
        <v>272.79</v>
      </c>
      <c r="I68" s="2" t="str">
        <f aca="false">TEXT(A68,"MMM YYYY")</f>
        <v>Mar 2025</v>
      </c>
    </row>
    <row r="69" customFormat="false" ht="15" hidden="false" customHeight="false" outlineLevel="0" collapsed="false">
      <c r="A69" s="2" t="s">
        <v>82</v>
      </c>
      <c r="B69" s="2" t="s">
        <v>10</v>
      </c>
      <c r="C69" s="2" t="s">
        <v>24</v>
      </c>
      <c r="D69" s="2" t="s">
        <v>27</v>
      </c>
      <c r="E69" s="2" t="n">
        <v>12</v>
      </c>
      <c r="F69" s="3" t="n">
        <v>4.99</v>
      </c>
      <c r="G69" s="2" t="s">
        <v>21</v>
      </c>
      <c r="H69" s="3" t="n">
        <f aca="false">E69*F69</f>
        <v>59.88</v>
      </c>
      <c r="I69" s="2" t="str">
        <f aca="false">TEXT(A69,"MMM YYYY")</f>
        <v>Mar 2025</v>
      </c>
    </row>
    <row r="70" customFormat="false" ht="15" hidden="false" customHeight="false" outlineLevel="0" collapsed="false">
      <c r="A70" s="2" t="s">
        <v>83</v>
      </c>
      <c r="B70" s="2" t="s">
        <v>15</v>
      </c>
      <c r="C70" s="2" t="s">
        <v>29</v>
      </c>
      <c r="D70" s="2" t="s">
        <v>56</v>
      </c>
      <c r="E70" s="2" t="n">
        <v>22</v>
      </c>
      <c r="F70" s="3" t="n">
        <v>149.99</v>
      </c>
      <c r="G70" s="2" t="s">
        <v>13</v>
      </c>
      <c r="H70" s="3" t="n">
        <f aca="false">E70*F70</f>
        <v>3299.78</v>
      </c>
      <c r="I70" s="2" t="str">
        <f aca="false">TEXT(A70,"MMM YYYY")</f>
        <v>Mar 2025</v>
      </c>
    </row>
    <row r="71" customFormat="false" ht="15" hidden="false" customHeight="false" outlineLevel="0" collapsed="false">
      <c r="A71" s="2" t="s">
        <v>83</v>
      </c>
      <c r="B71" s="2" t="s">
        <v>15</v>
      </c>
      <c r="C71" s="2" t="s">
        <v>24</v>
      </c>
      <c r="D71" s="2" t="s">
        <v>27</v>
      </c>
      <c r="E71" s="2" t="n">
        <v>15</v>
      </c>
      <c r="F71" s="3" t="n">
        <v>4.99</v>
      </c>
      <c r="G71" s="2" t="s">
        <v>39</v>
      </c>
      <c r="H71" s="3" t="n">
        <f aca="false">E71*F71</f>
        <v>74.85</v>
      </c>
      <c r="I71" s="2" t="str">
        <f aca="false">TEXT(A71,"MMM YYYY")</f>
        <v>Mar 2025</v>
      </c>
    </row>
    <row r="72" customFormat="false" ht="15" hidden="false" customHeight="false" outlineLevel="0" collapsed="false">
      <c r="A72" s="2" t="s">
        <v>84</v>
      </c>
      <c r="B72" s="2" t="s">
        <v>15</v>
      </c>
      <c r="C72" s="2" t="s">
        <v>16</v>
      </c>
      <c r="D72" s="2" t="s">
        <v>17</v>
      </c>
      <c r="E72" s="2" t="n">
        <v>4</v>
      </c>
      <c r="F72" s="3" t="n">
        <v>899.99</v>
      </c>
      <c r="G72" s="2" t="s">
        <v>18</v>
      </c>
      <c r="H72" s="3" t="n">
        <f aca="false">E72*F72</f>
        <v>3599.96</v>
      </c>
      <c r="I72" s="2" t="str">
        <f aca="false">TEXT(A72,"MMM YYYY")</f>
        <v>Mar 2025</v>
      </c>
    </row>
    <row r="73" customFormat="false" ht="15" hidden="false" customHeight="false" outlineLevel="0" collapsed="false">
      <c r="A73" s="2" t="s">
        <v>84</v>
      </c>
      <c r="B73" s="2" t="s">
        <v>10</v>
      </c>
      <c r="C73" s="2" t="s">
        <v>24</v>
      </c>
      <c r="D73" s="2" t="s">
        <v>40</v>
      </c>
      <c r="E73" s="2" t="n">
        <v>4</v>
      </c>
      <c r="F73" s="3" t="n">
        <v>12.99</v>
      </c>
      <c r="G73" s="2" t="s">
        <v>21</v>
      </c>
      <c r="H73" s="3" t="n">
        <f aca="false">E73*F73</f>
        <v>51.96</v>
      </c>
      <c r="I73" s="2" t="str">
        <f aca="false">TEXT(A73,"MMM YYYY")</f>
        <v>Mar 2025</v>
      </c>
    </row>
    <row r="74" customFormat="false" ht="15" hidden="false" customHeight="false" outlineLevel="0" collapsed="false">
      <c r="A74" s="2" t="s">
        <v>85</v>
      </c>
      <c r="B74" s="2" t="s">
        <v>23</v>
      </c>
      <c r="C74" s="2" t="s">
        <v>16</v>
      </c>
      <c r="D74" s="2" t="s">
        <v>71</v>
      </c>
      <c r="E74" s="2" t="n">
        <v>14</v>
      </c>
      <c r="F74" s="3" t="n">
        <v>229.99</v>
      </c>
      <c r="G74" s="2" t="s">
        <v>21</v>
      </c>
      <c r="H74" s="3" t="n">
        <f aca="false">E74*F74</f>
        <v>3219.86</v>
      </c>
      <c r="I74" s="2" t="str">
        <f aca="false">TEXT(A74,"MMM YYYY")</f>
        <v>Mar 2025</v>
      </c>
    </row>
    <row r="75" customFormat="false" ht="15" hidden="false" customHeight="false" outlineLevel="0" collapsed="false">
      <c r="A75" s="2" t="s">
        <v>85</v>
      </c>
      <c r="B75" s="2" t="s">
        <v>20</v>
      </c>
      <c r="C75" s="2" t="s">
        <v>29</v>
      </c>
      <c r="D75" s="2" t="s">
        <v>51</v>
      </c>
      <c r="E75" s="2" t="n">
        <v>12</v>
      </c>
      <c r="F75" s="3" t="n">
        <v>119.99</v>
      </c>
      <c r="G75" s="2" t="s">
        <v>31</v>
      </c>
      <c r="H75" s="3" t="n">
        <f aca="false">E75*F75</f>
        <v>1439.88</v>
      </c>
      <c r="I75" s="2" t="str">
        <f aca="false">TEXT(A75,"MMM YYYY")</f>
        <v>Mar 2025</v>
      </c>
    </row>
    <row r="76" customFormat="false" ht="15" hidden="false" customHeight="false" outlineLevel="0" collapsed="false">
      <c r="A76" s="2" t="s">
        <v>85</v>
      </c>
      <c r="B76" s="2" t="s">
        <v>10</v>
      </c>
      <c r="C76" s="2" t="s">
        <v>24</v>
      </c>
      <c r="D76" s="2" t="s">
        <v>25</v>
      </c>
      <c r="E76" s="2" t="n">
        <v>13</v>
      </c>
      <c r="F76" s="3" t="n">
        <v>8.99</v>
      </c>
      <c r="G76" s="2" t="s">
        <v>31</v>
      </c>
      <c r="H76" s="3" t="n">
        <f aca="false">E76*F76</f>
        <v>116.87</v>
      </c>
      <c r="I76" s="2" t="str">
        <f aca="false">TEXT(A76,"MMM YYYY")</f>
        <v>Mar 2025</v>
      </c>
    </row>
    <row r="77" customFormat="false" ht="15" hidden="false" customHeight="false" outlineLevel="0" collapsed="false">
      <c r="A77" s="2" t="s">
        <v>86</v>
      </c>
      <c r="B77" s="2" t="s">
        <v>10</v>
      </c>
      <c r="C77" s="2" t="s">
        <v>24</v>
      </c>
      <c r="D77" s="2" t="s">
        <v>27</v>
      </c>
      <c r="E77" s="2" t="n">
        <v>5</v>
      </c>
      <c r="F77" s="3" t="n">
        <v>4.99</v>
      </c>
      <c r="G77" s="2" t="s">
        <v>31</v>
      </c>
      <c r="H77" s="3" t="n">
        <f aca="false">E77*F77</f>
        <v>24.95</v>
      </c>
      <c r="I77" s="2" t="str">
        <f aca="false">TEXT(A77,"MMM YYYY")</f>
        <v>Mar 2025</v>
      </c>
    </row>
    <row r="78" customFormat="false" ht="15" hidden="false" customHeight="false" outlineLevel="0" collapsed="false">
      <c r="A78" s="2" t="s">
        <v>87</v>
      </c>
      <c r="B78" s="2" t="s">
        <v>10</v>
      </c>
      <c r="C78" s="2" t="s">
        <v>11</v>
      </c>
      <c r="D78" s="2" t="s">
        <v>37</v>
      </c>
      <c r="E78" s="2" t="n">
        <v>24</v>
      </c>
      <c r="F78" s="3" t="n">
        <v>349.99</v>
      </c>
      <c r="G78" s="2" t="s">
        <v>31</v>
      </c>
      <c r="H78" s="3" t="n">
        <f aca="false">E78*F78</f>
        <v>8399.76</v>
      </c>
      <c r="I78" s="2" t="str">
        <f aca="false">TEXT(A78,"MMM YYYY")</f>
        <v>Mar 2025</v>
      </c>
    </row>
    <row r="79" customFormat="false" ht="15" hidden="false" customHeight="false" outlineLevel="0" collapsed="false">
      <c r="A79" s="2" t="s">
        <v>87</v>
      </c>
      <c r="B79" s="2" t="s">
        <v>15</v>
      </c>
      <c r="C79" s="2" t="s">
        <v>16</v>
      </c>
      <c r="D79" s="2" t="s">
        <v>64</v>
      </c>
      <c r="E79" s="2" t="n">
        <v>24</v>
      </c>
      <c r="F79" s="3" t="n">
        <v>79.99</v>
      </c>
      <c r="G79" s="2" t="s">
        <v>13</v>
      </c>
      <c r="H79" s="3" t="n">
        <f aca="false">E79*F79</f>
        <v>1919.76</v>
      </c>
      <c r="I79" s="2" t="str">
        <f aca="false">TEXT(A79,"MMM YYYY")</f>
        <v>Mar 2025</v>
      </c>
    </row>
    <row r="80" customFormat="false" ht="15" hidden="false" customHeight="false" outlineLevel="0" collapsed="false">
      <c r="A80" s="2" t="s">
        <v>88</v>
      </c>
      <c r="B80" s="2" t="s">
        <v>23</v>
      </c>
      <c r="C80" s="2" t="s">
        <v>24</v>
      </c>
      <c r="D80" s="2" t="s">
        <v>25</v>
      </c>
      <c r="E80" s="2" t="n">
        <v>14</v>
      </c>
      <c r="F80" s="3" t="n">
        <v>8.99</v>
      </c>
      <c r="G80" s="2" t="s">
        <v>18</v>
      </c>
      <c r="H80" s="3" t="n">
        <f aca="false">E80*F80</f>
        <v>125.86</v>
      </c>
      <c r="I80" s="2" t="str">
        <f aca="false">TEXT(A80,"MMM YYYY")</f>
        <v>Mar 2025</v>
      </c>
    </row>
    <row r="81" customFormat="false" ht="15" hidden="false" customHeight="false" outlineLevel="0" collapsed="false">
      <c r="A81" s="2" t="s">
        <v>89</v>
      </c>
      <c r="B81" s="2" t="s">
        <v>15</v>
      </c>
      <c r="C81" s="2" t="s">
        <v>16</v>
      </c>
      <c r="D81" s="2" t="s">
        <v>45</v>
      </c>
      <c r="E81" s="2" t="n">
        <v>15</v>
      </c>
      <c r="F81" s="3" t="n">
        <v>349.99</v>
      </c>
      <c r="G81" s="2" t="s">
        <v>13</v>
      </c>
      <c r="H81" s="3" t="n">
        <f aca="false">E81*F81</f>
        <v>5249.85</v>
      </c>
      <c r="I81" s="2" t="str">
        <f aca="false">TEXT(A81,"MMM YYYY")</f>
        <v>Mar 2025</v>
      </c>
    </row>
    <row r="82" customFormat="false" ht="15" hidden="false" customHeight="false" outlineLevel="0" collapsed="false">
      <c r="A82" s="2" t="s">
        <v>90</v>
      </c>
      <c r="B82" s="2" t="s">
        <v>20</v>
      </c>
      <c r="C82" s="2" t="s">
        <v>16</v>
      </c>
      <c r="D82" s="2" t="s">
        <v>45</v>
      </c>
      <c r="E82" s="2" t="n">
        <v>14</v>
      </c>
      <c r="F82" s="3" t="n">
        <v>349.99</v>
      </c>
      <c r="G82" s="2" t="s">
        <v>35</v>
      </c>
      <c r="H82" s="3" t="n">
        <f aca="false">E82*F82</f>
        <v>4899.86</v>
      </c>
      <c r="I82" s="2" t="str">
        <f aca="false">TEXT(A82,"MMM YYYY")</f>
        <v>Mar 2025</v>
      </c>
    </row>
    <row r="83" customFormat="false" ht="15" hidden="false" customHeight="false" outlineLevel="0" collapsed="false">
      <c r="A83" s="2" t="s">
        <v>90</v>
      </c>
      <c r="B83" s="2" t="s">
        <v>15</v>
      </c>
      <c r="C83" s="2" t="s">
        <v>24</v>
      </c>
      <c r="D83" s="2" t="s">
        <v>40</v>
      </c>
      <c r="E83" s="2" t="n">
        <v>14</v>
      </c>
      <c r="F83" s="3" t="n">
        <v>12.99</v>
      </c>
      <c r="G83" s="2" t="s">
        <v>39</v>
      </c>
      <c r="H83" s="3" t="n">
        <f aca="false">E83*F83</f>
        <v>181.86</v>
      </c>
      <c r="I83" s="2" t="str">
        <f aca="false">TEXT(A83,"MMM YYYY")</f>
        <v>Mar 2025</v>
      </c>
    </row>
    <row r="84" customFormat="false" ht="15" hidden="false" customHeight="false" outlineLevel="0" collapsed="false">
      <c r="A84" s="2" t="s">
        <v>90</v>
      </c>
      <c r="B84" s="2" t="s">
        <v>20</v>
      </c>
      <c r="C84" s="2" t="s">
        <v>11</v>
      </c>
      <c r="D84" s="2" t="s">
        <v>37</v>
      </c>
      <c r="E84" s="2" t="n">
        <v>24</v>
      </c>
      <c r="F84" s="3" t="n">
        <v>349.99</v>
      </c>
      <c r="G84" s="2" t="s">
        <v>39</v>
      </c>
      <c r="H84" s="3" t="n">
        <f aca="false">E84*F84</f>
        <v>8399.76</v>
      </c>
      <c r="I84" s="2" t="str">
        <f aca="false">TEXT(A84,"MMM YYYY")</f>
        <v>Mar 2025</v>
      </c>
    </row>
    <row r="85" customFormat="false" ht="15" hidden="false" customHeight="false" outlineLevel="0" collapsed="false">
      <c r="A85" s="2" t="s">
        <v>91</v>
      </c>
      <c r="B85" s="2" t="s">
        <v>20</v>
      </c>
      <c r="C85" s="2" t="s">
        <v>24</v>
      </c>
      <c r="D85" s="2" t="s">
        <v>34</v>
      </c>
      <c r="E85" s="2" t="n">
        <v>3</v>
      </c>
      <c r="F85" s="3" t="n">
        <v>6.99</v>
      </c>
      <c r="G85" s="2" t="s">
        <v>39</v>
      </c>
      <c r="H85" s="3" t="n">
        <f aca="false">E85*F85</f>
        <v>20.97</v>
      </c>
      <c r="I85" s="2" t="str">
        <f aca="false">TEXT(A85,"MMM YYYY")</f>
        <v>Mar 2025</v>
      </c>
    </row>
    <row r="86" customFormat="false" ht="15" hidden="false" customHeight="false" outlineLevel="0" collapsed="false">
      <c r="A86" s="2" t="s">
        <v>92</v>
      </c>
      <c r="B86" s="2" t="s">
        <v>15</v>
      </c>
      <c r="C86" s="2" t="s">
        <v>16</v>
      </c>
      <c r="D86" s="2" t="s">
        <v>42</v>
      </c>
      <c r="E86" s="2" t="n">
        <v>17</v>
      </c>
      <c r="F86" s="3" t="n">
        <v>649.99</v>
      </c>
      <c r="G86" s="2" t="s">
        <v>18</v>
      </c>
      <c r="H86" s="3" t="n">
        <f aca="false">E86*F86</f>
        <v>11049.83</v>
      </c>
      <c r="I86" s="2" t="str">
        <f aca="false">TEXT(A86,"MMM YYYY")</f>
        <v>Mar 2025</v>
      </c>
    </row>
    <row r="87" customFormat="false" ht="15" hidden="false" customHeight="false" outlineLevel="0" collapsed="false">
      <c r="A87" s="2" t="s">
        <v>92</v>
      </c>
      <c r="B87" s="2" t="s">
        <v>20</v>
      </c>
      <c r="C87" s="2" t="s">
        <v>11</v>
      </c>
      <c r="D87" s="2" t="s">
        <v>93</v>
      </c>
      <c r="E87" s="2" t="n">
        <v>6</v>
      </c>
      <c r="F87" s="3" t="n">
        <v>189.99</v>
      </c>
      <c r="G87" s="2" t="s">
        <v>21</v>
      </c>
      <c r="H87" s="3" t="n">
        <f aca="false">E87*F87</f>
        <v>1139.94</v>
      </c>
      <c r="I87" s="2" t="str">
        <f aca="false">TEXT(A87,"MMM YYYY")</f>
        <v>Mar 2025</v>
      </c>
    </row>
    <row r="88" customFormat="false" ht="15" hidden="false" customHeight="false" outlineLevel="0" collapsed="false">
      <c r="A88" s="2" t="s">
        <v>94</v>
      </c>
      <c r="B88" s="2" t="s">
        <v>23</v>
      </c>
      <c r="C88" s="2" t="s">
        <v>24</v>
      </c>
      <c r="D88" s="2" t="s">
        <v>27</v>
      </c>
      <c r="E88" s="2" t="n">
        <v>1</v>
      </c>
      <c r="F88" s="3" t="n">
        <v>4.99</v>
      </c>
      <c r="G88" s="2" t="s">
        <v>21</v>
      </c>
      <c r="H88" s="3" t="n">
        <f aca="false">E88*F88</f>
        <v>4.99</v>
      </c>
      <c r="I88" s="2" t="str">
        <f aca="false">TEXT(A88,"MMM YYYY")</f>
        <v>Mar 2025</v>
      </c>
    </row>
    <row r="89" customFormat="false" ht="15" hidden="false" customHeight="false" outlineLevel="0" collapsed="false">
      <c r="A89" s="2" t="s">
        <v>95</v>
      </c>
      <c r="B89" s="2" t="s">
        <v>10</v>
      </c>
      <c r="C89" s="2" t="s">
        <v>24</v>
      </c>
      <c r="D89" s="2" t="s">
        <v>27</v>
      </c>
      <c r="E89" s="2" t="n">
        <v>4</v>
      </c>
      <c r="F89" s="3" t="n">
        <v>4.99</v>
      </c>
      <c r="G89" s="2" t="s">
        <v>39</v>
      </c>
      <c r="H89" s="3" t="n">
        <f aca="false">E89*F89</f>
        <v>19.96</v>
      </c>
      <c r="I89" s="2" t="str">
        <f aca="false">TEXT(A89,"MMM YYYY")</f>
        <v>Mar 2025</v>
      </c>
    </row>
    <row r="90" customFormat="false" ht="15" hidden="false" customHeight="false" outlineLevel="0" collapsed="false">
      <c r="A90" s="2" t="s">
        <v>96</v>
      </c>
      <c r="B90" s="2" t="s">
        <v>23</v>
      </c>
      <c r="C90" s="2" t="s">
        <v>11</v>
      </c>
      <c r="D90" s="2" t="s">
        <v>12</v>
      </c>
      <c r="E90" s="2" t="n">
        <v>4</v>
      </c>
      <c r="F90" s="3" t="n">
        <v>129.99</v>
      </c>
      <c r="G90" s="2" t="s">
        <v>31</v>
      </c>
      <c r="H90" s="3" t="n">
        <f aca="false">E90*F90</f>
        <v>519.96</v>
      </c>
      <c r="I90" s="2" t="str">
        <f aca="false">TEXT(A90,"MMM YYYY")</f>
        <v>Mar 2025</v>
      </c>
    </row>
    <row r="91" customFormat="false" ht="15" hidden="false" customHeight="false" outlineLevel="0" collapsed="false">
      <c r="A91" s="2" t="s">
        <v>97</v>
      </c>
      <c r="B91" s="2" t="s">
        <v>23</v>
      </c>
      <c r="C91" s="2" t="s">
        <v>24</v>
      </c>
      <c r="D91" s="2" t="s">
        <v>40</v>
      </c>
      <c r="E91" s="2" t="n">
        <v>19</v>
      </c>
      <c r="F91" s="3" t="n">
        <v>12.99</v>
      </c>
      <c r="G91" s="2" t="s">
        <v>13</v>
      </c>
      <c r="H91" s="3" t="n">
        <f aca="false">E91*F91</f>
        <v>246.81</v>
      </c>
      <c r="I91" s="2" t="str">
        <f aca="false">TEXT(A91,"MMM YYYY")</f>
        <v>Apr 2025</v>
      </c>
    </row>
    <row r="92" customFormat="false" ht="15" hidden="false" customHeight="false" outlineLevel="0" collapsed="false">
      <c r="A92" s="2" t="s">
        <v>98</v>
      </c>
      <c r="B92" s="2" t="s">
        <v>10</v>
      </c>
      <c r="C92" s="2" t="s">
        <v>29</v>
      </c>
      <c r="D92" s="2" t="s">
        <v>30</v>
      </c>
      <c r="E92" s="2" t="n">
        <v>2</v>
      </c>
      <c r="F92" s="3" t="n">
        <v>59.99</v>
      </c>
      <c r="G92" s="2" t="s">
        <v>39</v>
      </c>
      <c r="H92" s="3" t="n">
        <f aca="false">E92*F92</f>
        <v>119.98</v>
      </c>
      <c r="I92" s="2" t="str">
        <f aca="false">TEXT(A92,"MMM YYYY")</f>
        <v>Apr 2025</v>
      </c>
    </row>
    <row r="93" customFormat="false" ht="15" hidden="false" customHeight="false" outlineLevel="0" collapsed="false">
      <c r="A93" s="2" t="s">
        <v>99</v>
      </c>
      <c r="B93" s="2" t="s">
        <v>10</v>
      </c>
      <c r="C93" s="2" t="s">
        <v>16</v>
      </c>
      <c r="D93" s="2" t="s">
        <v>45</v>
      </c>
      <c r="E93" s="2" t="n">
        <v>1</v>
      </c>
      <c r="F93" s="3" t="n">
        <v>349.99</v>
      </c>
      <c r="G93" s="2" t="s">
        <v>31</v>
      </c>
      <c r="H93" s="3" t="n">
        <f aca="false">E93*F93</f>
        <v>349.99</v>
      </c>
      <c r="I93" s="2" t="str">
        <f aca="false">TEXT(A93,"MMM YYYY")</f>
        <v>Apr 2025</v>
      </c>
    </row>
    <row r="94" customFormat="false" ht="15" hidden="false" customHeight="false" outlineLevel="0" collapsed="false">
      <c r="A94" s="2" t="s">
        <v>99</v>
      </c>
      <c r="B94" s="2" t="s">
        <v>23</v>
      </c>
      <c r="C94" s="2" t="s">
        <v>29</v>
      </c>
      <c r="D94" s="2" t="s">
        <v>51</v>
      </c>
      <c r="E94" s="2" t="n">
        <v>22</v>
      </c>
      <c r="F94" s="3" t="n">
        <v>119.99</v>
      </c>
      <c r="G94" s="2" t="s">
        <v>18</v>
      </c>
      <c r="H94" s="3" t="n">
        <f aca="false">E94*F94</f>
        <v>2639.78</v>
      </c>
      <c r="I94" s="2" t="str">
        <f aca="false">TEXT(A94,"MMM YYYY")</f>
        <v>Apr 2025</v>
      </c>
    </row>
    <row r="95" customFormat="false" ht="15" hidden="false" customHeight="false" outlineLevel="0" collapsed="false">
      <c r="A95" s="2" t="s">
        <v>100</v>
      </c>
      <c r="B95" s="2" t="s">
        <v>20</v>
      </c>
      <c r="C95" s="2" t="s">
        <v>11</v>
      </c>
      <c r="D95" s="2" t="s">
        <v>37</v>
      </c>
      <c r="E95" s="2" t="n">
        <v>3</v>
      </c>
      <c r="F95" s="3" t="n">
        <v>349.99</v>
      </c>
      <c r="G95" s="2" t="s">
        <v>35</v>
      </c>
      <c r="H95" s="3" t="n">
        <f aca="false">E95*F95</f>
        <v>1049.97</v>
      </c>
      <c r="I95" s="2" t="str">
        <f aca="false">TEXT(A95,"MMM YYYY")</f>
        <v>Apr 2025</v>
      </c>
    </row>
    <row r="96" customFormat="false" ht="15" hidden="false" customHeight="false" outlineLevel="0" collapsed="false">
      <c r="A96" s="2" t="s">
        <v>100</v>
      </c>
      <c r="B96" s="2" t="s">
        <v>20</v>
      </c>
      <c r="C96" s="2" t="s">
        <v>24</v>
      </c>
      <c r="D96" s="2" t="s">
        <v>40</v>
      </c>
      <c r="E96" s="2" t="n">
        <v>8</v>
      </c>
      <c r="F96" s="3" t="n">
        <v>12.99</v>
      </c>
      <c r="G96" s="2" t="s">
        <v>35</v>
      </c>
      <c r="H96" s="3" t="n">
        <f aca="false">E96*F96</f>
        <v>103.92</v>
      </c>
      <c r="I96" s="2" t="str">
        <f aca="false">TEXT(A96,"MMM YYYY")</f>
        <v>Apr 2025</v>
      </c>
    </row>
    <row r="97" customFormat="false" ht="15" hidden="false" customHeight="false" outlineLevel="0" collapsed="false">
      <c r="A97" s="2" t="s">
        <v>100</v>
      </c>
      <c r="B97" s="2" t="s">
        <v>20</v>
      </c>
      <c r="C97" s="2" t="s">
        <v>29</v>
      </c>
      <c r="D97" s="2" t="s">
        <v>32</v>
      </c>
      <c r="E97" s="2" t="n">
        <v>17</v>
      </c>
      <c r="F97" s="3" t="n">
        <v>34.99</v>
      </c>
      <c r="G97" s="2" t="s">
        <v>35</v>
      </c>
      <c r="H97" s="3" t="n">
        <f aca="false">E97*F97</f>
        <v>594.83</v>
      </c>
      <c r="I97" s="2" t="str">
        <f aca="false">TEXT(A97,"MMM YYYY")</f>
        <v>Apr 2025</v>
      </c>
    </row>
    <row r="98" customFormat="false" ht="15" hidden="false" customHeight="false" outlineLevel="0" collapsed="false">
      <c r="A98" s="2" t="s">
        <v>101</v>
      </c>
      <c r="B98" s="2" t="s">
        <v>15</v>
      </c>
      <c r="C98" s="2" t="s">
        <v>29</v>
      </c>
      <c r="D98" s="2" t="s">
        <v>32</v>
      </c>
      <c r="E98" s="2" t="n">
        <v>8</v>
      </c>
      <c r="F98" s="3" t="n">
        <v>34.99</v>
      </c>
      <c r="G98" s="2" t="s">
        <v>18</v>
      </c>
      <c r="H98" s="3" t="n">
        <f aca="false">E98*F98</f>
        <v>279.92</v>
      </c>
      <c r="I98" s="2" t="str">
        <f aca="false">TEXT(A98,"MMM YYYY")</f>
        <v>Apr 2025</v>
      </c>
    </row>
    <row r="99" customFormat="false" ht="15" hidden="false" customHeight="false" outlineLevel="0" collapsed="false">
      <c r="A99" s="2" t="s">
        <v>101</v>
      </c>
      <c r="B99" s="2" t="s">
        <v>10</v>
      </c>
      <c r="C99" s="2" t="s">
        <v>29</v>
      </c>
      <c r="D99" s="2" t="s">
        <v>32</v>
      </c>
      <c r="E99" s="2" t="n">
        <v>25</v>
      </c>
      <c r="F99" s="3" t="n">
        <v>34.99</v>
      </c>
      <c r="G99" s="2" t="s">
        <v>35</v>
      </c>
      <c r="H99" s="3" t="n">
        <f aca="false">E99*F99</f>
        <v>874.75</v>
      </c>
      <c r="I99" s="2" t="str">
        <f aca="false">TEXT(A99,"MMM YYYY")</f>
        <v>Apr 2025</v>
      </c>
    </row>
    <row r="100" customFormat="false" ht="15" hidden="false" customHeight="false" outlineLevel="0" collapsed="false">
      <c r="A100" s="2" t="s">
        <v>102</v>
      </c>
      <c r="B100" s="2" t="s">
        <v>10</v>
      </c>
      <c r="C100" s="2" t="s">
        <v>11</v>
      </c>
      <c r="D100" s="2" t="s">
        <v>12</v>
      </c>
      <c r="E100" s="2" t="n">
        <v>20</v>
      </c>
      <c r="F100" s="3" t="n">
        <v>129.99</v>
      </c>
      <c r="G100" s="2" t="s">
        <v>31</v>
      </c>
      <c r="H100" s="3" t="n">
        <f aca="false">E100*F100</f>
        <v>2599.8</v>
      </c>
      <c r="I100" s="2" t="str">
        <f aca="false">TEXT(A100,"MMM YYYY")</f>
        <v>Apr 2025</v>
      </c>
    </row>
    <row r="101" customFormat="false" ht="15" hidden="false" customHeight="false" outlineLevel="0" collapsed="false">
      <c r="A101" s="2" t="s">
        <v>103</v>
      </c>
      <c r="B101" s="2" t="s">
        <v>15</v>
      </c>
      <c r="C101" s="2" t="s">
        <v>29</v>
      </c>
      <c r="D101" s="2" t="s">
        <v>51</v>
      </c>
      <c r="E101" s="2" t="n">
        <v>8</v>
      </c>
      <c r="F101" s="3" t="n">
        <v>119.99</v>
      </c>
      <c r="G101" s="2" t="s">
        <v>39</v>
      </c>
      <c r="H101" s="3" t="n">
        <f aca="false">E101*F101</f>
        <v>959.92</v>
      </c>
      <c r="I101" s="2" t="str">
        <f aca="false">TEXT(A101,"MMM YYYY")</f>
        <v>Apr 2025</v>
      </c>
    </row>
    <row r="102" customFormat="false" ht="15" hidden="false" customHeight="false" outlineLevel="0" collapsed="false">
      <c r="A102" s="2" t="s">
        <v>103</v>
      </c>
      <c r="B102" s="2" t="s">
        <v>20</v>
      </c>
      <c r="C102" s="2" t="s">
        <v>11</v>
      </c>
      <c r="D102" s="2" t="s">
        <v>93</v>
      </c>
      <c r="E102" s="2" t="n">
        <v>6</v>
      </c>
      <c r="F102" s="3" t="n">
        <v>189.99</v>
      </c>
      <c r="G102" s="2" t="s">
        <v>13</v>
      </c>
      <c r="H102" s="3" t="n">
        <f aca="false">E102*F102</f>
        <v>1139.94</v>
      </c>
      <c r="I102" s="2" t="str">
        <f aca="false">TEXT(A102,"MMM YYYY")</f>
        <v>Apr 2025</v>
      </c>
    </row>
    <row r="103" customFormat="false" ht="15" hidden="false" customHeight="false" outlineLevel="0" collapsed="false">
      <c r="A103" s="2" t="s">
        <v>104</v>
      </c>
      <c r="B103" s="2" t="s">
        <v>23</v>
      </c>
      <c r="C103" s="2" t="s">
        <v>11</v>
      </c>
      <c r="D103" s="2" t="s">
        <v>93</v>
      </c>
      <c r="E103" s="2" t="n">
        <v>15</v>
      </c>
      <c r="F103" s="3" t="n">
        <v>189.99</v>
      </c>
      <c r="G103" s="2" t="s">
        <v>18</v>
      </c>
      <c r="H103" s="3" t="n">
        <f aca="false">E103*F103</f>
        <v>2849.85</v>
      </c>
      <c r="I103" s="2" t="str">
        <f aca="false">TEXT(A103,"MMM YYYY")</f>
        <v>Apr 2025</v>
      </c>
    </row>
    <row r="104" customFormat="false" ht="15" hidden="false" customHeight="false" outlineLevel="0" collapsed="false">
      <c r="A104" s="2" t="s">
        <v>105</v>
      </c>
      <c r="B104" s="2" t="s">
        <v>10</v>
      </c>
      <c r="C104" s="2" t="s">
        <v>11</v>
      </c>
      <c r="D104" s="2" t="s">
        <v>12</v>
      </c>
      <c r="E104" s="2" t="n">
        <v>23</v>
      </c>
      <c r="F104" s="3" t="n">
        <v>129.99</v>
      </c>
      <c r="G104" s="2" t="s">
        <v>35</v>
      </c>
      <c r="H104" s="3" t="n">
        <f aca="false">E104*F104</f>
        <v>2989.77</v>
      </c>
      <c r="I104" s="2" t="str">
        <f aca="false">TEXT(A104,"MMM YYYY")</f>
        <v>Apr 2025</v>
      </c>
    </row>
    <row r="105" customFormat="false" ht="15" hidden="false" customHeight="false" outlineLevel="0" collapsed="false">
      <c r="A105" s="2" t="s">
        <v>106</v>
      </c>
      <c r="B105" s="2" t="s">
        <v>10</v>
      </c>
      <c r="C105" s="2" t="s">
        <v>16</v>
      </c>
      <c r="D105" s="2" t="s">
        <v>71</v>
      </c>
      <c r="E105" s="2" t="n">
        <v>21</v>
      </c>
      <c r="F105" s="3" t="n">
        <v>229.99</v>
      </c>
      <c r="G105" s="2" t="s">
        <v>18</v>
      </c>
      <c r="H105" s="3" t="n">
        <f aca="false">E105*F105</f>
        <v>4829.79</v>
      </c>
      <c r="I105" s="2" t="str">
        <f aca="false">TEXT(A105,"MMM YYYY")</f>
        <v>Apr 2025</v>
      </c>
    </row>
    <row r="106" customFormat="false" ht="15" hidden="false" customHeight="false" outlineLevel="0" collapsed="false">
      <c r="A106" s="2" t="s">
        <v>106</v>
      </c>
      <c r="B106" s="2" t="s">
        <v>10</v>
      </c>
      <c r="C106" s="2" t="s">
        <v>11</v>
      </c>
      <c r="D106" s="2" t="s">
        <v>12</v>
      </c>
      <c r="E106" s="2" t="n">
        <v>17</v>
      </c>
      <c r="F106" s="3" t="n">
        <v>129.99</v>
      </c>
      <c r="G106" s="2" t="s">
        <v>39</v>
      </c>
      <c r="H106" s="3" t="n">
        <f aca="false">E106*F106</f>
        <v>2209.83</v>
      </c>
      <c r="I106" s="2" t="str">
        <f aca="false">TEXT(A106,"MMM YYYY")</f>
        <v>Apr 2025</v>
      </c>
    </row>
    <row r="107" customFormat="false" ht="15" hidden="false" customHeight="false" outlineLevel="0" collapsed="false">
      <c r="A107" s="2" t="s">
        <v>107</v>
      </c>
      <c r="B107" s="2" t="s">
        <v>15</v>
      </c>
      <c r="C107" s="2" t="s">
        <v>11</v>
      </c>
      <c r="D107" s="2" t="s">
        <v>93</v>
      </c>
      <c r="E107" s="2" t="n">
        <v>10</v>
      </c>
      <c r="F107" s="3" t="n">
        <v>189.99</v>
      </c>
      <c r="G107" s="2" t="s">
        <v>31</v>
      </c>
      <c r="H107" s="3" t="n">
        <f aca="false">E107*F107</f>
        <v>1899.9</v>
      </c>
      <c r="I107" s="2" t="str">
        <f aca="false">TEXT(A107,"MMM YYYY")</f>
        <v>Apr 2025</v>
      </c>
    </row>
    <row r="108" customFormat="false" ht="15" hidden="false" customHeight="false" outlineLevel="0" collapsed="false">
      <c r="A108" s="2" t="s">
        <v>108</v>
      </c>
      <c r="B108" s="2" t="s">
        <v>20</v>
      </c>
      <c r="C108" s="2" t="s">
        <v>24</v>
      </c>
      <c r="D108" s="2" t="s">
        <v>25</v>
      </c>
      <c r="E108" s="2" t="n">
        <v>20</v>
      </c>
      <c r="F108" s="3" t="n">
        <v>8.99</v>
      </c>
      <c r="G108" s="2" t="s">
        <v>21</v>
      </c>
      <c r="H108" s="3" t="n">
        <f aca="false">E108*F108</f>
        <v>179.8</v>
      </c>
      <c r="I108" s="2" t="str">
        <f aca="false">TEXT(A108,"MMM YYYY")</f>
        <v>Apr 2025</v>
      </c>
    </row>
    <row r="109" customFormat="false" ht="15" hidden="false" customHeight="false" outlineLevel="0" collapsed="false">
      <c r="A109" s="2" t="s">
        <v>109</v>
      </c>
      <c r="B109" s="2" t="s">
        <v>15</v>
      </c>
      <c r="C109" s="2" t="s">
        <v>29</v>
      </c>
      <c r="D109" s="2" t="s">
        <v>30</v>
      </c>
      <c r="E109" s="2" t="n">
        <v>12</v>
      </c>
      <c r="F109" s="3" t="n">
        <v>59.99</v>
      </c>
      <c r="G109" s="2" t="s">
        <v>21</v>
      </c>
      <c r="H109" s="3" t="n">
        <f aca="false">E109*F109</f>
        <v>719.88</v>
      </c>
      <c r="I109" s="2" t="str">
        <f aca="false">TEXT(A109,"MMM YYYY")</f>
        <v>Apr 2025</v>
      </c>
    </row>
    <row r="110" customFormat="false" ht="15" hidden="false" customHeight="false" outlineLevel="0" collapsed="false">
      <c r="A110" s="2" t="s">
        <v>110</v>
      </c>
      <c r="B110" s="2" t="s">
        <v>20</v>
      </c>
      <c r="C110" s="2" t="s">
        <v>24</v>
      </c>
      <c r="D110" s="2" t="s">
        <v>25</v>
      </c>
      <c r="E110" s="2" t="n">
        <v>21</v>
      </c>
      <c r="F110" s="3" t="n">
        <v>8.99</v>
      </c>
      <c r="G110" s="2" t="s">
        <v>21</v>
      </c>
      <c r="H110" s="3" t="n">
        <f aca="false">E110*F110</f>
        <v>188.79</v>
      </c>
      <c r="I110" s="2" t="str">
        <f aca="false">TEXT(A110,"MMM YYYY")</f>
        <v>Apr 2025</v>
      </c>
    </row>
    <row r="111" customFormat="false" ht="15" hidden="false" customHeight="false" outlineLevel="0" collapsed="false">
      <c r="A111" s="2" t="s">
        <v>111</v>
      </c>
      <c r="B111" s="2" t="s">
        <v>20</v>
      </c>
      <c r="C111" s="2" t="s">
        <v>11</v>
      </c>
      <c r="D111" s="2" t="s">
        <v>38</v>
      </c>
      <c r="E111" s="2" t="n">
        <v>5</v>
      </c>
      <c r="F111" s="3" t="n">
        <v>99.99</v>
      </c>
      <c r="G111" s="2" t="s">
        <v>39</v>
      </c>
      <c r="H111" s="3" t="n">
        <f aca="false">E111*F111</f>
        <v>499.95</v>
      </c>
      <c r="I111" s="2" t="str">
        <f aca="false">TEXT(A111,"MMM YYYY")</f>
        <v>Apr 2025</v>
      </c>
    </row>
    <row r="112" customFormat="false" ht="15" hidden="false" customHeight="false" outlineLevel="0" collapsed="false">
      <c r="A112" s="2" t="s">
        <v>112</v>
      </c>
      <c r="B112" s="2" t="s">
        <v>23</v>
      </c>
      <c r="C112" s="2" t="s">
        <v>24</v>
      </c>
      <c r="D112" s="2" t="s">
        <v>34</v>
      </c>
      <c r="E112" s="2" t="n">
        <v>23</v>
      </c>
      <c r="F112" s="3" t="n">
        <v>6.99</v>
      </c>
      <c r="G112" s="2" t="s">
        <v>13</v>
      </c>
      <c r="H112" s="3" t="n">
        <f aca="false">E112*F112</f>
        <v>160.77</v>
      </c>
      <c r="I112" s="2" t="str">
        <f aca="false">TEXT(A112,"MMM YYYY")</f>
        <v>Apr 2025</v>
      </c>
    </row>
    <row r="113" customFormat="false" ht="15" hidden="false" customHeight="false" outlineLevel="0" collapsed="false">
      <c r="A113" s="2" t="s">
        <v>113</v>
      </c>
      <c r="B113" s="2" t="s">
        <v>23</v>
      </c>
      <c r="C113" s="2" t="s">
        <v>24</v>
      </c>
      <c r="D113" s="2" t="s">
        <v>34</v>
      </c>
      <c r="E113" s="2" t="n">
        <v>19</v>
      </c>
      <c r="F113" s="3" t="n">
        <v>6.99</v>
      </c>
      <c r="G113" s="2" t="s">
        <v>31</v>
      </c>
      <c r="H113" s="3" t="n">
        <f aca="false">E113*F113</f>
        <v>132.81</v>
      </c>
      <c r="I113" s="2" t="str">
        <f aca="false">TEXT(A113,"MMM YYYY")</f>
        <v>Apr 2025</v>
      </c>
    </row>
    <row r="114" customFormat="false" ht="15" hidden="false" customHeight="false" outlineLevel="0" collapsed="false">
      <c r="A114" s="2" t="s">
        <v>113</v>
      </c>
      <c r="B114" s="2" t="s">
        <v>20</v>
      </c>
      <c r="C114" s="2" t="s">
        <v>11</v>
      </c>
      <c r="D114" s="2" t="s">
        <v>93</v>
      </c>
      <c r="E114" s="2" t="n">
        <v>2</v>
      </c>
      <c r="F114" s="3" t="n">
        <v>189.99</v>
      </c>
      <c r="G114" s="2" t="s">
        <v>18</v>
      </c>
      <c r="H114" s="3" t="n">
        <f aca="false">E114*F114</f>
        <v>379.98</v>
      </c>
      <c r="I114" s="2" t="str">
        <f aca="false">TEXT(A114,"MMM YYYY")</f>
        <v>Apr 2025</v>
      </c>
    </row>
    <row r="115" customFormat="false" ht="15" hidden="false" customHeight="false" outlineLevel="0" collapsed="false">
      <c r="A115" s="2" t="s">
        <v>113</v>
      </c>
      <c r="B115" s="2" t="s">
        <v>20</v>
      </c>
      <c r="C115" s="2" t="s">
        <v>16</v>
      </c>
      <c r="D115" s="2" t="s">
        <v>17</v>
      </c>
      <c r="E115" s="2" t="n">
        <v>14</v>
      </c>
      <c r="F115" s="3" t="n">
        <v>899.99</v>
      </c>
      <c r="G115" s="2" t="s">
        <v>35</v>
      </c>
      <c r="H115" s="3" t="n">
        <f aca="false">E115*F115</f>
        <v>12599.86</v>
      </c>
      <c r="I115" s="2" t="str">
        <f aca="false">TEXT(A115,"MMM YYYY")</f>
        <v>Apr 2025</v>
      </c>
    </row>
    <row r="116" customFormat="false" ht="15" hidden="false" customHeight="false" outlineLevel="0" collapsed="false">
      <c r="A116" s="2" t="s">
        <v>114</v>
      </c>
      <c r="B116" s="2" t="s">
        <v>10</v>
      </c>
      <c r="C116" s="2" t="s">
        <v>16</v>
      </c>
      <c r="D116" s="2" t="s">
        <v>64</v>
      </c>
      <c r="E116" s="2" t="n">
        <v>4</v>
      </c>
      <c r="F116" s="3" t="n">
        <v>79.99</v>
      </c>
      <c r="G116" s="2" t="s">
        <v>39</v>
      </c>
      <c r="H116" s="3" t="n">
        <f aca="false">E116*F116</f>
        <v>319.96</v>
      </c>
      <c r="I116" s="2" t="str">
        <f aca="false">TEXT(A116,"MMM YYYY")</f>
        <v>Apr 2025</v>
      </c>
    </row>
    <row r="117" customFormat="false" ht="15" hidden="false" customHeight="false" outlineLevel="0" collapsed="false">
      <c r="A117" s="2" t="s">
        <v>114</v>
      </c>
      <c r="B117" s="2" t="s">
        <v>20</v>
      </c>
      <c r="C117" s="2" t="s">
        <v>16</v>
      </c>
      <c r="D117" s="2" t="s">
        <v>64</v>
      </c>
      <c r="E117" s="2" t="n">
        <v>13</v>
      </c>
      <c r="F117" s="3" t="n">
        <v>79.99</v>
      </c>
      <c r="G117" s="2" t="s">
        <v>35</v>
      </c>
      <c r="H117" s="3" t="n">
        <f aca="false">E117*F117</f>
        <v>1039.87</v>
      </c>
      <c r="I117" s="2" t="str">
        <f aca="false">TEXT(A117,"MMM YYYY")</f>
        <v>Apr 2025</v>
      </c>
    </row>
    <row r="118" customFormat="false" ht="15" hidden="false" customHeight="false" outlineLevel="0" collapsed="false">
      <c r="A118" s="2" t="s">
        <v>115</v>
      </c>
      <c r="B118" s="2" t="s">
        <v>20</v>
      </c>
      <c r="C118" s="2" t="s">
        <v>16</v>
      </c>
      <c r="D118" s="2" t="s">
        <v>17</v>
      </c>
      <c r="E118" s="2" t="n">
        <v>23</v>
      </c>
      <c r="F118" s="3" t="n">
        <v>899.99</v>
      </c>
      <c r="G118" s="2" t="s">
        <v>13</v>
      </c>
      <c r="H118" s="3" t="n">
        <f aca="false">E118*F118</f>
        <v>20699.77</v>
      </c>
      <c r="I118" s="2" t="str">
        <f aca="false">TEXT(A118,"MMM YYYY")</f>
        <v>Apr 2025</v>
      </c>
    </row>
    <row r="119" customFormat="false" ht="15" hidden="false" customHeight="false" outlineLevel="0" collapsed="false">
      <c r="A119" s="2" t="s">
        <v>116</v>
      </c>
      <c r="B119" s="2" t="s">
        <v>23</v>
      </c>
      <c r="C119" s="2" t="s">
        <v>11</v>
      </c>
      <c r="D119" s="2" t="s">
        <v>38</v>
      </c>
      <c r="E119" s="2" t="n">
        <v>6</v>
      </c>
      <c r="F119" s="3" t="n">
        <v>99.99</v>
      </c>
      <c r="G119" s="2" t="s">
        <v>21</v>
      </c>
      <c r="H119" s="3" t="n">
        <f aca="false">E119*F119</f>
        <v>599.94</v>
      </c>
      <c r="I119" s="2" t="str">
        <f aca="false">TEXT(A119,"MMM YYYY")</f>
        <v>Apr 2025</v>
      </c>
    </row>
    <row r="120" customFormat="false" ht="15" hidden="false" customHeight="false" outlineLevel="0" collapsed="false">
      <c r="A120" s="2" t="s">
        <v>117</v>
      </c>
      <c r="B120" s="2" t="s">
        <v>15</v>
      </c>
      <c r="C120" s="2" t="s">
        <v>16</v>
      </c>
      <c r="D120" s="2" t="s">
        <v>71</v>
      </c>
      <c r="E120" s="2" t="n">
        <v>18</v>
      </c>
      <c r="F120" s="3" t="n">
        <v>229.99</v>
      </c>
      <c r="G120" s="2" t="s">
        <v>35</v>
      </c>
      <c r="H120" s="3" t="n">
        <f aca="false">E120*F120</f>
        <v>4139.82</v>
      </c>
      <c r="I120" s="2" t="str">
        <f aca="false">TEXT(A120,"MMM YYYY")</f>
        <v>Apr 2025</v>
      </c>
    </row>
    <row r="121" customFormat="false" ht="15" hidden="false" customHeight="false" outlineLevel="0" collapsed="false">
      <c r="A121" s="2" t="s">
        <v>118</v>
      </c>
      <c r="B121" s="2" t="s">
        <v>20</v>
      </c>
      <c r="C121" s="2" t="s">
        <v>24</v>
      </c>
      <c r="D121" s="2" t="s">
        <v>34</v>
      </c>
      <c r="E121" s="2" t="n">
        <v>18</v>
      </c>
      <c r="F121" s="3" t="n">
        <v>6.99</v>
      </c>
      <c r="G121" s="2" t="s">
        <v>39</v>
      </c>
      <c r="H121" s="3" t="n">
        <f aca="false">E121*F121</f>
        <v>125.82</v>
      </c>
      <c r="I121" s="2" t="str">
        <f aca="false">TEXT(A121,"MMM YYYY")</f>
        <v>May 2025</v>
      </c>
    </row>
    <row r="122" customFormat="false" ht="15" hidden="false" customHeight="false" outlineLevel="0" collapsed="false">
      <c r="A122" s="2" t="s">
        <v>119</v>
      </c>
      <c r="B122" s="2" t="s">
        <v>23</v>
      </c>
      <c r="C122" s="2" t="s">
        <v>16</v>
      </c>
      <c r="D122" s="2" t="s">
        <v>45</v>
      </c>
      <c r="E122" s="2" t="n">
        <v>22</v>
      </c>
      <c r="F122" s="3" t="n">
        <v>349.99</v>
      </c>
      <c r="G122" s="2" t="s">
        <v>31</v>
      </c>
      <c r="H122" s="3" t="n">
        <f aca="false">E122*F122</f>
        <v>7699.78</v>
      </c>
      <c r="I122" s="2" t="str">
        <f aca="false">TEXT(A122,"MMM YYYY")</f>
        <v>May 2025</v>
      </c>
    </row>
    <row r="123" customFormat="false" ht="15" hidden="false" customHeight="false" outlineLevel="0" collapsed="false">
      <c r="A123" s="2" t="s">
        <v>120</v>
      </c>
      <c r="B123" s="2" t="s">
        <v>23</v>
      </c>
      <c r="C123" s="2" t="s">
        <v>29</v>
      </c>
      <c r="D123" s="2" t="s">
        <v>51</v>
      </c>
      <c r="E123" s="2" t="n">
        <v>2</v>
      </c>
      <c r="F123" s="3" t="n">
        <v>119.99</v>
      </c>
      <c r="G123" s="2" t="s">
        <v>13</v>
      </c>
      <c r="H123" s="3" t="n">
        <f aca="false">E123*F123</f>
        <v>239.98</v>
      </c>
      <c r="I123" s="2" t="str">
        <f aca="false">TEXT(A123,"MMM YYYY")</f>
        <v>May 2025</v>
      </c>
    </row>
    <row r="124" customFormat="false" ht="15" hidden="false" customHeight="false" outlineLevel="0" collapsed="false">
      <c r="A124" s="2" t="s">
        <v>120</v>
      </c>
      <c r="B124" s="2" t="s">
        <v>10</v>
      </c>
      <c r="C124" s="2" t="s">
        <v>11</v>
      </c>
      <c r="D124" s="2" t="s">
        <v>93</v>
      </c>
      <c r="E124" s="2" t="n">
        <v>13</v>
      </c>
      <c r="F124" s="3" t="n">
        <v>189.99</v>
      </c>
      <c r="G124" s="2" t="s">
        <v>21</v>
      </c>
      <c r="H124" s="3" t="n">
        <f aca="false">E124*F124</f>
        <v>2469.87</v>
      </c>
      <c r="I124" s="2" t="str">
        <f aca="false">TEXT(A124,"MMM YYYY")</f>
        <v>May 2025</v>
      </c>
    </row>
    <row r="125" customFormat="false" ht="15" hidden="false" customHeight="false" outlineLevel="0" collapsed="false">
      <c r="A125" s="2" t="s">
        <v>121</v>
      </c>
      <c r="B125" s="2" t="s">
        <v>23</v>
      </c>
      <c r="C125" s="2" t="s">
        <v>16</v>
      </c>
      <c r="D125" s="2" t="s">
        <v>45</v>
      </c>
      <c r="E125" s="2" t="n">
        <v>9</v>
      </c>
      <c r="F125" s="3" t="n">
        <v>349.99</v>
      </c>
      <c r="G125" s="2" t="s">
        <v>21</v>
      </c>
      <c r="H125" s="3" t="n">
        <f aca="false">E125*F125</f>
        <v>3149.91</v>
      </c>
      <c r="I125" s="2" t="str">
        <f aca="false">TEXT(A125,"MMM YYYY")</f>
        <v>May 2025</v>
      </c>
    </row>
    <row r="126" customFormat="false" ht="15" hidden="false" customHeight="false" outlineLevel="0" collapsed="false">
      <c r="A126" s="2" t="s">
        <v>121</v>
      </c>
      <c r="B126" s="2" t="s">
        <v>20</v>
      </c>
      <c r="C126" s="2" t="s">
        <v>16</v>
      </c>
      <c r="D126" s="2" t="s">
        <v>64</v>
      </c>
      <c r="E126" s="2" t="n">
        <v>11</v>
      </c>
      <c r="F126" s="3" t="n">
        <v>79.99</v>
      </c>
      <c r="G126" s="2" t="s">
        <v>21</v>
      </c>
      <c r="H126" s="3" t="n">
        <f aca="false">E126*F126</f>
        <v>879.89</v>
      </c>
      <c r="I126" s="2" t="str">
        <f aca="false">TEXT(A126,"MMM YYYY")</f>
        <v>May 2025</v>
      </c>
    </row>
    <row r="127" customFormat="false" ht="15" hidden="false" customHeight="false" outlineLevel="0" collapsed="false">
      <c r="A127" s="2" t="s">
        <v>121</v>
      </c>
      <c r="B127" s="2" t="s">
        <v>23</v>
      </c>
      <c r="C127" s="2" t="s">
        <v>29</v>
      </c>
      <c r="D127" s="2" t="s">
        <v>56</v>
      </c>
      <c r="E127" s="2" t="n">
        <v>18</v>
      </c>
      <c r="F127" s="3" t="n">
        <v>149.99</v>
      </c>
      <c r="G127" s="2" t="s">
        <v>21</v>
      </c>
      <c r="H127" s="3" t="n">
        <f aca="false">E127*F127</f>
        <v>2699.82</v>
      </c>
      <c r="I127" s="2" t="str">
        <f aca="false">TEXT(A127,"MMM YYYY")</f>
        <v>May 2025</v>
      </c>
    </row>
    <row r="128" customFormat="false" ht="15" hidden="false" customHeight="false" outlineLevel="0" collapsed="false">
      <c r="A128" s="2" t="s">
        <v>122</v>
      </c>
      <c r="B128" s="2" t="s">
        <v>23</v>
      </c>
      <c r="C128" s="2" t="s">
        <v>11</v>
      </c>
      <c r="D128" s="2" t="s">
        <v>12</v>
      </c>
      <c r="E128" s="2" t="n">
        <v>12</v>
      </c>
      <c r="F128" s="3" t="n">
        <v>129.99</v>
      </c>
      <c r="G128" s="2" t="s">
        <v>21</v>
      </c>
      <c r="H128" s="3" t="n">
        <f aca="false">E128*F128</f>
        <v>1559.88</v>
      </c>
      <c r="I128" s="2" t="str">
        <f aca="false">TEXT(A128,"MMM YYYY")</f>
        <v>May 2025</v>
      </c>
    </row>
    <row r="129" customFormat="false" ht="15" hidden="false" customHeight="false" outlineLevel="0" collapsed="false">
      <c r="A129" s="2" t="s">
        <v>123</v>
      </c>
      <c r="B129" s="2" t="s">
        <v>10</v>
      </c>
      <c r="C129" s="2" t="s">
        <v>24</v>
      </c>
      <c r="D129" s="2" t="s">
        <v>40</v>
      </c>
      <c r="E129" s="2" t="n">
        <v>18</v>
      </c>
      <c r="F129" s="3" t="n">
        <v>12.99</v>
      </c>
      <c r="G129" s="2" t="s">
        <v>21</v>
      </c>
      <c r="H129" s="3" t="n">
        <f aca="false">E129*F129</f>
        <v>233.82</v>
      </c>
      <c r="I129" s="2" t="str">
        <f aca="false">TEXT(A129,"MMM YYYY")</f>
        <v>May 2025</v>
      </c>
    </row>
    <row r="130" customFormat="false" ht="15" hidden="false" customHeight="false" outlineLevel="0" collapsed="false">
      <c r="A130" s="2" t="s">
        <v>124</v>
      </c>
      <c r="B130" s="2" t="s">
        <v>20</v>
      </c>
      <c r="C130" s="2" t="s">
        <v>29</v>
      </c>
      <c r="D130" s="2" t="s">
        <v>51</v>
      </c>
      <c r="E130" s="2" t="n">
        <v>18</v>
      </c>
      <c r="F130" s="3" t="n">
        <v>119.99</v>
      </c>
      <c r="G130" s="2" t="s">
        <v>18</v>
      </c>
      <c r="H130" s="3" t="n">
        <f aca="false">E130*F130</f>
        <v>2159.82</v>
      </c>
      <c r="I130" s="2" t="str">
        <f aca="false">TEXT(A130,"MMM YYYY")</f>
        <v>May 2025</v>
      </c>
    </row>
    <row r="131" customFormat="false" ht="15" hidden="false" customHeight="false" outlineLevel="0" collapsed="false">
      <c r="A131" s="2" t="s">
        <v>124</v>
      </c>
      <c r="B131" s="2" t="s">
        <v>23</v>
      </c>
      <c r="C131" s="2" t="s">
        <v>29</v>
      </c>
      <c r="D131" s="2" t="s">
        <v>56</v>
      </c>
      <c r="E131" s="2" t="n">
        <v>22</v>
      </c>
      <c r="F131" s="3" t="n">
        <v>149.99</v>
      </c>
      <c r="G131" s="2" t="s">
        <v>13</v>
      </c>
      <c r="H131" s="3" t="n">
        <f aca="false">E131*F131</f>
        <v>3299.78</v>
      </c>
      <c r="I131" s="2" t="str">
        <f aca="false">TEXT(A131,"MMM YYYY")</f>
        <v>May 2025</v>
      </c>
    </row>
    <row r="132" customFormat="false" ht="15" hidden="false" customHeight="false" outlineLevel="0" collapsed="false">
      <c r="A132" s="2" t="s">
        <v>125</v>
      </c>
      <c r="B132" s="2" t="s">
        <v>10</v>
      </c>
      <c r="C132" s="2" t="s">
        <v>11</v>
      </c>
      <c r="D132" s="2" t="s">
        <v>93</v>
      </c>
      <c r="E132" s="2" t="n">
        <v>20</v>
      </c>
      <c r="F132" s="3" t="n">
        <v>189.99</v>
      </c>
      <c r="G132" s="2" t="s">
        <v>13</v>
      </c>
      <c r="H132" s="3" t="n">
        <f aca="false">E132*F132</f>
        <v>3799.8</v>
      </c>
      <c r="I132" s="2" t="str">
        <f aca="false">TEXT(A132,"MMM YYYY")</f>
        <v>May 2025</v>
      </c>
    </row>
    <row r="133" customFormat="false" ht="15" hidden="false" customHeight="false" outlineLevel="0" collapsed="false">
      <c r="A133" s="2" t="s">
        <v>126</v>
      </c>
      <c r="B133" s="2" t="s">
        <v>15</v>
      </c>
      <c r="C133" s="2" t="s">
        <v>29</v>
      </c>
      <c r="D133" s="2" t="s">
        <v>51</v>
      </c>
      <c r="E133" s="2" t="n">
        <v>13</v>
      </c>
      <c r="F133" s="3" t="n">
        <v>119.99</v>
      </c>
      <c r="G133" s="2" t="s">
        <v>35</v>
      </c>
      <c r="H133" s="3" t="n">
        <f aca="false">E133*F133</f>
        <v>1559.87</v>
      </c>
      <c r="I133" s="2" t="str">
        <f aca="false">TEXT(A133,"MMM YYYY")</f>
        <v>May 2025</v>
      </c>
    </row>
    <row r="134" customFormat="false" ht="15" hidden="false" customHeight="false" outlineLevel="0" collapsed="false">
      <c r="A134" s="2" t="s">
        <v>126</v>
      </c>
      <c r="B134" s="2" t="s">
        <v>15</v>
      </c>
      <c r="C134" s="2" t="s">
        <v>11</v>
      </c>
      <c r="D134" s="2" t="s">
        <v>38</v>
      </c>
      <c r="E134" s="2" t="n">
        <v>3</v>
      </c>
      <c r="F134" s="3" t="n">
        <v>99.99</v>
      </c>
      <c r="G134" s="2" t="s">
        <v>18</v>
      </c>
      <c r="H134" s="3" t="n">
        <f aca="false">E134*F134</f>
        <v>299.97</v>
      </c>
      <c r="I134" s="2" t="str">
        <f aca="false">TEXT(A134,"MMM YYYY")</f>
        <v>May 2025</v>
      </c>
    </row>
    <row r="135" customFormat="false" ht="15" hidden="false" customHeight="false" outlineLevel="0" collapsed="false">
      <c r="A135" s="2" t="s">
        <v>127</v>
      </c>
      <c r="B135" s="2" t="s">
        <v>10</v>
      </c>
      <c r="C135" s="2" t="s">
        <v>29</v>
      </c>
      <c r="D135" s="2" t="s">
        <v>56</v>
      </c>
      <c r="E135" s="2" t="n">
        <v>15</v>
      </c>
      <c r="F135" s="3" t="n">
        <v>149.99</v>
      </c>
      <c r="G135" s="2" t="s">
        <v>31</v>
      </c>
      <c r="H135" s="3" t="n">
        <f aca="false">E135*F135</f>
        <v>2249.85</v>
      </c>
      <c r="I135" s="2" t="str">
        <f aca="false">TEXT(A135,"MMM YYYY")</f>
        <v>May 2025</v>
      </c>
    </row>
    <row r="136" customFormat="false" ht="15" hidden="false" customHeight="false" outlineLevel="0" collapsed="false">
      <c r="A136" s="2" t="s">
        <v>127</v>
      </c>
      <c r="B136" s="2" t="s">
        <v>23</v>
      </c>
      <c r="C136" s="2" t="s">
        <v>16</v>
      </c>
      <c r="D136" s="2" t="s">
        <v>45</v>
      </c>
      <c r="E136" s="2" t="n">
        <v>12</v>
      </c>
      <c r="F136" s="3" t="n">
        <v>349.99</v>
      </c>
      <c r="G136" s="2" t="s">
        <v>31</v>
      </c>
      <c r="H136" s="3" t="n">
        <f aca="false">E136*F136</f>
        <v>4199.88</v>
      </c>
      <c r="I136" s="2" t="str">
        <f aca="false">TEXT(A136,"MMM YYYY")</f>
        <v>May 2025</v>
      </c>
    </row>
    <row r="137" customFormat="false" ht="15" hidden="false" customHeight="false" outlineLevel="0" collapsed="false">
      <c r="A137" s="2" t="s">
        <v>128</v>
      </c>
      <c r="B137" s="2" t="s">
        <v>10</v>
      </c>
      <c r="C137" s="2" t="s">
        <v>16</v>
      </c>
      <c r="D137" s="2" t="s">
        <v>64</v>
      </c>
      <c r="E137" s="2" t="n">
        <v>10</v>
      </c>
      <c r="F137" s="3" t="n">
        <v>79.99</v>
      </c>
      <c r="G137" s="2" t="s">
        <v>18</v>
      </c>
      <c r="H137" s="3" t="n">
        <f aca="false">E137*F137</f>
        <v>799.9</v>
      </c>
      <c r="I137" s="2" t="str">
        <f aca="false">TEXT(A137,"MMM YYYY")</f>
        <v>May 2025</v>
      </c>
    </row>
    <row r="138" customFormat="false" ht="15" hidden="false" customHeight="false" outlineLevel="0" collapsed="false">
      <c r="A138" s="2" t="s">
        <v>128</v>
      </c>
      <c r="B138" s="2" t="s">
        <v>20</v>
      </c>
      <c r="C138" s="2" t="s">
        <v>11</v>
      </c>
      <c r="D138" s="2" t="s">
        <v>12</v>
      </c>
      <c r="E138" s="2" t="n">
        <v>6</v>
      </c>
      <c r="F138" s="3" t="n">
        <v>129.99</v>
      </c>
      <c r="G138" s="2" t="s">
        <v>21</v>
      </c>
      <c r="H138" s="3" t="n">
        <f aca="false">E138*F138</f>
        <v>779.94</v>
      </c>
      <c r="I138" s="2" t="str">
        <f aca="false">TEXT(A138,"MMM YYYY")</f>
        <v>May 2025</v>
      </c>
    </row>
    <row r="139" customFormat="false" ht="15" hidden="false" customHeight="false" outlineLevel="0" collapsed="false">
      <c r="A139" s="2" t="s">
        <v>129</v>
      </c>
      <c r="B139" s="2" t="s">
        <v>23</v>
      </c>
      <c r="C139" s="2" t="s">
        <v>11</v>
      </c>
      <c r="D139" s="2" t="s">
        <v>38</v>
      </c>
      <c r="E139" s="2" t="n">
        <v>11</v>
      </c>
      <c r="F139" s="3" t="n">
        <v>99.99</v>
      </c>
      <c r="G139" s="2" t="s">
        <v>35</v>
      </c>
      <c r="H139" s="3" t="n">
        <f aca="false">E139*F139</f>
        <v>1099.89</v>
      </c>
      <c r="I139" s="2" t="str">
        <f aca="false">TEXT(A139,"MMM YYYY")</f>
        <v>May 2025</v>
      </c>
    </row>
    <row r="140" customFormat="false" ht="15" hidden="false" customHeight="false" outlineLevel="0" collapsed="false">
      <c r="A140" s="2" t="s">
        <v>129</v>
      </c>
      <c r="B140" s="2" t="s">
        <v>15</v>
      </c>
      <c r="C140" s="2" t="s">
        <v>24</v>
      </c>
      <c r="D140" s="2" t="s">
        <v>25</v>
      </c>
      <c r="E140" s="2" t="n">
        <v>12</v>
      </c>
      <c r="F140" s="3" t="n">
        <v>8.99</v>
      </c>
      <c r="G140" s="2" t="s">
        <v>35</v>
      </c>
      <c r="H140" s="3" t="n">
        <f aca="false">E140*F140</f>
        <v>107.88</v>
      </c>
      <c r="I140" s="2" t="str">
        <f aca="false">TEXT(A140,"MMM YYYY")</f>
        <v>May 2025</v>
      </c>
    </row>
    <row r="141" customFormat="false" ht="15" hidden="false" customHeight="false" outlineLevel="0" collapsed="false">
      <c r="A141" s="2" t="s">
        <v>129</v>
      </c>
      <c r="B141" s="2" t="s">
        <v>23</v>
      </c>
      <c r="C141" s="2" t="s">
        <v>24</v>
      </c>
      <c r="D141" s="2" t="s">
        <v>40</v>
      </c>
      <c r="E141" s="2" t="n">
        <v>21</v>
      </c>
      <c r="F141" s="3" t="n">
        <v>12.99</v>
      </c>
      <c r="G141" s="2" t="s">
        <v>31</v>
      </c>
      <c r="H141" s="3" t="n">
        <f aca="false">E141*F141</f>
        <v>272.79</v>
      </c>
      <c r="I141" s="2" t="str">
        <f aca="false">TEXT(A141,"MMM YYYY")</f>
        <v>May 2025</v>
      </c>
    </row>
    <row r="142" customFormat="false" ht="15" hidden="false" customHeight="false" outlineLevel="0" collapsed="false">
      <c r="A142" s="2" t="s">
        <v>129</v>
      </c>
      <c r="B142" s="2" t="s">
        <v>20</v>
      </c>
      <c r="C142" s="2" t="s">
        <v>16</v>
      </c>
      <c r="D142" s="2" t="s">
        <v>17</v>
      </c>
      <c r="E142" s="2" t="n">
        <v>24</v>
      </c>
      <c r="F142" s="3" t="n">
        <v>899.99</v>
      </c>
      <c r="G142" s="2" t="s">
        <v>18</v>
      </c>
      <c r="H142" s="3" t="n">
        <f aca="false">E142*F142</f>
        <v>21599.76</v>
      </c>
      <c r="I142" s="2" t="str">
        <f aca="false">TEXT(A142,"MMM YYYY")</f>
        <v>May 2025</v>
      </c>
    </row>
    <row r="143" customFormat="false" ht="15" hidden="false" customHeight="false" outlineLevel="0" collapsed="false">
      <c r="A143" s="2" t="s">
        <v>130</v>
      </c>
      <c r="B143" s="2" t="s">
        <v>15</v>
      </c>
      <c r="C143" s="2" t="s">
        <v>29</v>
      </c>
      <c r="D143" s="2" t="s">
        <v>32</v>
      </c>
      <c r="E143" s="2" t="n">
        <v>11</v>
      </c>
      <c r="F143" s="3" t="n">
        <v>34.99</v>
      </c>
      <c r="G143" s="2" t="s">
        <v>18</v>
      </c>
      <c r="H143" s="3" t="n">
        <f aca="false">E143*F143</f>
        <v>384.89</v>
      </c>
      <c r="I143" s="2" t="str">
        <f aca="false">TEXT(A143,"MMM YYYY")</f>
        <v>May 2025</v>
      </c>
    </row>
    <row r="144" customFormat="false" ht="15" hidden="false" customHeight="false" outlineLevel="0" collapsed="false">
      <c r="A144" s="2" t="s">
        <v>130</v>
      </c>
      <c r="B144" s="2" t="s">
        <v>15</v>
      </c>
      <c r="C144" s="2" t="s">
        <v>11</v>
      </c>
      <c r="D144" s="2" t="s">
        <v>37</v>
      </c>
      <c r="E144" s="2" t="n">
        <v>10</v>
      </c>
      <c r="F144" s="3" t="n">
        <v>349.99</v>
      </c>
      <c r="G144" s="2" t="s">
        <v>39</v>
      </c>
      <c r="H144" s="3" t="n">
        <f aca="false">E144*F144</f>
        <v>3499.9</v>
      </c>
      <c r="I144" s="2" t="str">
        <f aca="false">TEXT(A144,"MMM YYYY")</f>
        <v>May 2025</v>
      </c>
    </row>
    <row r="145" customFormat="false" ht="15" hidden="false" customHeight="false" outlineLevel="0" collapsed="false">
      <c r="A145" s="2" t="s">
        <v>131</v>
      </c>
      <c r="B145" s="2" t="s">
        <v>20</v>
      </c>
      <c r="C145" s="2" t="s">
        <v>24</v>
      </c>
      <c r="D145" s="2" t="s">
        <v>40</v>
      </c>
      <c r="E145" s="2" t="n">
        <v>11</v>
      </c>
      <c r="F145" s="3" t="n">
        <v>12.99</v>
      </c>
      <c r="G145" s="2" t="s">
        <v>31</v>
      </c>
      <c r="H145" s="3" t="n">
        <f aca="false">E145*F145</f>
        <v>142.89</v>
      </c>
      <c r="I145" s="2" t="str">
        <f aca="false">TEXT(A145,"MMM YYYY")</f>
        <v>May 2025</v>
      </c>
    </row>
    <row r="146" customFormat="false" ht="15" hidden="false" customHeight="false" outlineLevel="0" collapsed="false">
      <c r="A146" s="2" t="s">
        <v>131</v>
      </c>
      <c r="B146" s="2" t="s">
        <v>23</v>
      </c>
      <c r="C146" s="2" t="s">
        <v>16</v>
      </c>
      <c r="D146" s="2" t="s">
        <v>71</v>
      </c>
      <c r="E146" s="2" t="n">
        <v>20</v>
      </c>
      <c r="F146" s="3" t="n">
        <v>229.99</v>
      </c>
      <c r="G146" s="2" t="s">
        <v>31</v>
      </c>
      <c r="H146" s="3" t="n">
        <f aca="false">E146*F146</f>
        <v>4599.8</v>
      </c>
      <c r="I146" s="2" t="str">
        <f aca="false">TEXT(A146,"MMM YYYY")</f>
        <v>May 2025</v>
      </c>
    </row>
    <row r="147" customFormat="false" ht="15" hidden="false" customHeight="false" outlineLevel="0" collapsed="false">
      <c r="A147" s="2" t="s">
        <v>132</v>
      </c>
      <c r="B147" s="2" t="s">
        <v>10</v>
      </c>
      <c r="C147" s="2" t="s">
        <v>29</v>
      </c>
      <c r="D147" s="2" t="s">
        <v>51</v>
      </c>
      <c r="E147" s="2" t="n">
        <v>22</v>
      </c>
      <c r="F147" s="3" t="n">
        <v>119.99</v>
      </c>
      <c r="G147" s="2" t="s">
        <v>18</v>
      </c>
      <c r="H147" s="3" t="n">
        <f aca="false">E147*F147</f>
        <v>2639.78</v>
      </c>
      <c r="I147" s="2" t="str">
        <f aca="false">TEXT(A147,"MMM YYYY")</f>
        <v>May 2025</v>
      </c>
    </row>
    <row r="148" customFormat="false" ht="15" hidden="false" customHeight="false" outlineLevel="0" collapsed="false">
      <c r="A148" s="2" t="s">
        <v>132</v>
      </c>
      <c r="B148" s="2" t="s">
        <v>20</v>
      </c>
      <c r="C148" s="2" t="s">
        <v>16</v>
      </c>
      <c r="D148" s="2" t="s">
        <v>45</v>
      </c>
      <c r="E148" s="2" t="n">
        <v>4</v>
      </c>
      <c r="F148" s="3" t="n">
        <v>349.99</v>
      </c>
      <c r="G148" s="2" t="s">
        <v>13</v>
      </c>
      <c r="H148" s="3" t="n">
        <f aca="false">E148*F148</f>
        <v>1399.96</v>
      </c>
      <c r="I148" s="2" t="str">
        <f aca="false">TEXT(A148,"MMM YYYY")</f>
        <v>May 2025</v>
      </c>
    </row>
    <row r="149" customFormat="false" ht="15" hidden="false" customHeight="false" outlineLevel="0" collapsed="false">
      <c r="A149" s="2" t="s">
        <v>132</v>
      </c>
      <c r="B149" s="2" t="s">
        <v>20</v>
      </c>
      <c r="C149" s="2" t="s">
        <v>29</v>
      </c>
      <c r="D149" s="2" t="s">
        <v>56</v>
      </c>
      <c r="E149" s="2" t="n">
        <v>16</v>
      </c>
      <c r="F149" s="3" t="n">
        <v>149.99</v>
      </c>
      <c r="G149" s="2" t="s">
        <v>35</v>
      </c>
      <c r="H149" s="3" t="n">
        <f aca="false">E149*F149</f>
        <v>2399.84</v>
      </c>
      <c r="I149" s="2" t="str">
        <f aca="false">TEXT(A149,"MMM YYYY")</f>
        <v>May 2025</v>
      </c>
    </row>
    <row r="150" customFormat="false" ht="15" hidden="false" customHeight="false" outlineLevel="0" collapsed="false">
      <c r="A150" s="2" t="s">
        <v>133</v>
      </c>
      <c r="B150" s="2" t="s">
        <v>23</v>
      </c>
      <c r="C150" s="2" t="s">
        <v>24</v>
      </c>
      <c r="D150" s="2" t="s">
        <v>34</v>
      </c>
      <c r="E150" s="2" t="n">
        <v>12</v>
      </c>
      <c r="F150" s="3" t="n">
        <v>6.99</v>
      </c>
      <c r="G150" s="2" t="s">
        <v>39</v>
      </c>
      <c r="H150" s="3" t="n">
        <f aca="false">E150*F150</f>
        <v>83.88</v>
      </c>
      <c r="I150" s="2" t="str">
        <f aca="false">TEXT(A150,"MMM YYYY")</f>
        <v>May 2025</v>
      </c>
    </row>
    <row r="151" customFormat="false" ht="15" hidden="false" customHeight="false" outlineLevel="0" collapsed="false">
      <c r="A151" s="2" t="s">
        <v>134</v>
      </c>
      <c r="B151" s="2" t="s">
        <v>15</v>
      </c>
      <c r="C151" s="2" t="s">
        <v>29</v>
      </c>
      <c r="D151" s="2" t="s">
        <v>30</v>
      </c>
      <c r="E151" s="2" t="n">
        <v>16</v>
      </c>
      <c r="F151" s="3" t="n">
        <v>59.99</v>
      </c>
      <c r="G151" s="2" t="s">
        <v>18</v>
      </c>
      <c r="H151" s="3" t="n">
        <f aca="false">E151*F151</f>
        <v>959.84</v>
      </c>
      <c r="I151" s="2" t="str">
        <f aca="false">TEXT(A151,"MMM YYYY")</f>
        <v>Jun 2025</v>
      </c>
    </row>
    <row r="152" customFormat="false" ht="15" hidden="false" customHeight="false" outlineLevel="0" collapsed="false">
      <c r="A152" s="2" t="s">
        <v>134</v>
      </c>
      <c r="B152" s="2" t="s">
        <v>23</v>
      </c>
      <c r="C152" s="2" t="s">
        <v>24</v>
      </c>
      <c r="D152" s="2" t="s">
        <v>40</v>
      </c>
      <c r="E152" s="2" t="n">
        <v>15</v>
      </c>
      <c r="F152" s="3" t="n">
        <v>12.99</v>
      </c>
      <c r="G152" s="2" t="s">
        <v>13</v>
      </c>
      <c r="H152" s="3" t="n">
        <f aca="false">E152*F152</f>
        <v>194.85</v>
      </c>
      <c r="I152" s="2" t="str">
        <f aca="false">TEXT(A152,"MMM YYYY")</f>
        <v>Jun 2025</v>
      </c>
    </row>
    <row r="153" customFormat="false" ht="15" hidden="false" customHeight="false" outlineLevel="0" collapsed="false">
      <c r="A153" s="2" t="s">
        <v>134</v>
      </c>
      <c r="B153" s="2" t="s">
        <v>15</v>
      </c>
      <c r="C153" s="2" t="s">
        <v>29</v>
      </c>
      <c r="D153" s="2" t="s">
        <v>32</v>
      </c>
      <c r="E153" s="2" t="n">
        <v>8</v>
      </c>
      <c r="F153" s="3" t="n">
        <v>34.99</v>
      </c>
      <c r="G153" s="2" t="s">
        <v>18</v>
      </c>
      <c r="H153" s="3" t="n">
        <f aca="false">E153*F153</f>
        <v>279.92</v>
      </c>
      <c r="I153" s="2" t="str">
        <f aca="false">TEXT(A153,"MMM YYYY")</f>
        <v>Jun 2025</v>
      </c>
    </row>
    <row r="154" customFormat="false" ht="15" hidden="false" customHeight="false" outlineLevel="0" collapsed="false">
      <c r="A154" s="2" t="s">
        <v>135</v>
      </c>
      <c r="B154" s="2" t="s">
        <v>10</v>
      </c>
      <c r="C154" s="2" t="s">
        <v>29</v>
      </c>
      <c r="D154" s="2" t="s">
        <v>56</v>
      </c>
      <c r="E154" s="2" t="n">
        <v>16</v>
      </c>
      <c r="F154" s="3" t="n">
        <v>149.99</v>
      </c>
      <c r="G154" s="2" t="s">
        <v>21</v>
      </c>
      <c r="H154" s="3" t="n">
        <f aca="false">E154*F154</f>
        <v>2399.84</v>
      </c>
      <c r="I154" s="2" t="str">
        <f aca="false">TEXT(A154,"MMM YYYY")</f>
        <v>Jun 2025</v>
      </c>
    </row>
    <row r="155" customFormat="false" ht="15" hidden="false" customHeight="false" outlineLevel="0" collapsed="false">
      <c r="A155" s="2" t="s">
        <v>136</v>
      </c>
      <c r="B155" s="2" t="s">
        <v>23</v>
      </c>
      <c r="C155" s="2" t="s">
        <v>24</v>
      </c>
      <c r="D155" s="2" t="s">
        <v>34</v>
      </c>
      <c r="E155" s="2" t="n">
        <v>5</v>
      </c>
      <c r="F155" s="3" t="n">
        <v>6.99</v>
      </c>
      <c r="G155" s="2" t="s">
        <v>35</v>
      </c>
      <c r="H155" s="3" t="n">
        <f aca="false">E155*F155</f>
        <v>34.95</v>
      </c>
      <c r="I155" s="2" t="str">
        <f aca="false">TEXT(A155,"MMM YYYY")</f>
        <v>Jun 2025</v>
      </c>
    </row>
    <row r="156" customFormat="false" ht="15" hidden="false" customHeight="false" outlineLevel="0" collapsed="false">
      <c r="A156" s="2" t="s">
        <v>137</v>
      </c>
      <c r="B156" s="2" t="s">
        <v>10</v>
      </c>
      <c r="C156" s="2" t="s">
        <v>11</v>
      </c>
      <c r="D156" s="2" t="s">
        <v>38</v>
      </c>
      <c r="E156" s="2" t="n">
        <v>19</v>
      </c>
      <c r="F156" s="3" t="n">
        <v>99.99</v>
      </c>
      <c r="G156" s="2" t="s">
        <v>31</v>
      </c>
      <c r="H156" s="3" t="n">
        <f aca="false">E156*F156</f>
        <v>1899.81</v>
      </c>
      <c r="I156" s="2" t="str">
        <f aca="false">TEXT(A156,"MMM YYYY")</f>
        <v>Jun 2025</v>
      </c>
    </row>
    <row r="157" customFormat="false" ht="15" hidden="false" customHeight="false" outlineLevel="0" collapsed="false">
      <c r="A157" s="2" t="s">
        <v>137</v>
      </c>
      <c r="B157" s="2" t="s">
        <v>23</v>
      </c>
      <c r="C157" s="2" t="s">
        <v>11</v>
      </c>
      <c r="D157" s="2" t="s">
        <v>93</v>
      </c>
      <c r="E157" s="2" t="n">
        <v>18</v>
      </c>
      <c r="F157" s="3" t="n">
        <v>189.99</v>
      </c>
      <c r="G157" s="2" t="s">
        <v>39</v>
      </c>
      <c r="H157" s="3" t="n">
        <f aca="false">E157*F157</f>
        <v>3419.82</v>
      </c>
      <c r="I157" s="2" t="str">
        <f aca="false">TEXT(A157,"MMM YYYY")</f>
        <v>Jun 2025</v>
      </c>
    </row>
    <row r="158" customFormat="false" ht="15" hidden="false" customHeight="false" outlineLevel="0" collapsed="false">
      <c r="A158" s="2" t="s">
        <v>137</v>
      </c>
      <c r="B158" s="2" t="s">
        <v>15</v>
      </c>
      <c r="C158" s="2" t="s">
        <v>16</v>
      </c>
      <c r="D158" s="2" t="s">
        <v>17</v>
      </c>
      <c r="E158" s="2" t="n">
        <v>8</v>
      </c>
      <c r="F158" s="3" t="n">
        <v>899.99</v>
      </c>
      <c r="G158" s="2" t="s">
        <v>31</v>
      </c>
      <c r="H158" s="3" t="n">
        <f aca="false">E158*F158</f>
        <v>7199.92</v>
      </c>
      <c r="I158" s="2" t="str">
        <f aca="false">TEXT(A158,"MMM YYYY")</f>
        <v>Jun 2025</v>
      </c>
    </row>
    <row r="159" customFormat="false" ht="15" hidden="false" customHeight="false" outlineLevel="0" collapsed="false">
      <c r="A159" s="2" t="s">
        <v>137</v>
      </c>
      <c r="B159" s="2" t="s">
        <v>10</v>
      </c>
      <c r="C159" s="2" t="s">
        <v>16</v>
      </c>
      <c r="D159" s="2" t="s">
        <v>42</v>
      </c>
      <c r="E159" s="2" t="n">
        <v>17</v>
      </c>
      <c r="F159" s="3" t="n">
        <v>649.99</v>
      </c>
      <c r="G159" s="2" t="s">
        <v>21</v>
      </c>
      <c r="H159" s="3" t="n">
        <f aca="false">E159*F159</f>
        <v>11049.83</v>
      </c>
      <c r="I159" s="2" t="str">
        <f aca="false">TEXT(A159,"MMM YYYY")</f>
        <v>Jun 2025</v>
      </c>
    </row>
    <row r="160" customFormat="false" ht="15" hidden="false" customHeight="false" outlineLevel="0" collapsed="false">
      <c r="A160" s="2" t="s">
        <v>138</v>
      </c>
      <c r="B160" s="2" t="s">
        <v>10</v>
      </c>
      <c r="C160" s="2" t="s">
        <v>29</v>
      </c>
      <c r="D160" s="2" t="s">
        <v>56</v>
      </c>
      <c r="E160" s="2" t="n">
        <v>14</v>
      </c>
      <c r="F160" s="3" t="n">
        <v>149.99</v>
      </c>
      <c r="G160" s="2" t="s">
        <v>13</v>
      </c>
      <c r="H160" s="3" t="n">
        <f aca="false">E160*F160</f>
        <v>2099.86</v>
      </c>
      <c r="I160" s="2" t="str">
        <f aca="false">TEXT(A160,"MMM YYYY")</f>
        <v>Jun 2025</v>
      </c>
    </row>
    <row r="161" customFormat="false" ht="15" hidden="false" customHeight="false" outlineLevel="0" collapsed="false">
      <c r="A161" s="2" t="s">
        <v>138</v>
      </c>
      <c r="B161" s="2" t="s">
        <v>15</v>
      </c>
      <c r="C161" s="2" t="s">
        <v>29</v>
      </c>
      <c r="D161" s="2" t="s">
        <v>30</v>
      </c>
      <c r="E161" s="2" t="n">
        <v>23</v>
      </c>
      <c r="F161" s="3" t="n">
        <v>59.99</v>
      </c>
      <c r="G161" s="2" t="s">
        <v>39</v>
      </c>
      <c r="H161" s="3" t="n">
        <f aca="false">E161*F161</f>
        <v>1379.77</v>
      </c>
      <c r="I161" s="2" t="str">
        <f aca="false">TEXT(A161,"MMM YYYY")</f>
        <v>Jun 2025</v>
      </c>
    </row>
    <row r="162" customFormat="false" ht="15" hidden="false" customHeight="false" outlineLevel="0" collapsed="false">
      <c r="A162" s="2" t="s">
        <v>139</v>
      </c>
      <c r="B162" s="2" t="s">
        <v>15</v>
      </c>
      <c r="C162" s="2" t="s">
        <v>29</v>
      </c>
      <c r="D162" s="2" t="s">
        <v>51</v>
      </c>
      <c r="E162" s="2" t="n">
        <v>2</v>
      </c>
      <c r="F162" s="3" t="n">
        <v>119.99</v>
      </c>
      <c r="G162" s="2" t="s">
        <v>35</v>
      </c>
      <c r="H162" s="3" t="n">
        <f aca="false">E162*F162</f>
        <v>239.98</v>
      </c>
      <c r="I162" s="2" t="str">
        <f aca="false">TEXT(A162,"MMM YYYY")</f>
        <v>Jun 2025</v>
      </c>
    </row>
    <row r="163" customFormat="false" ht="15" hidden="false" customHeight="false" outlineLevel="0" collapsed="false">
      <c r="A163" s="2" t="s">
        <v>139</v>
      </c>
      <c r="B163" s="2" t="s">
        <v>20</v>
      </c>
      <c r="C163" s="2" t="s">
        <v>11</v>
      </c>
      <c r="D163" s="2" t="s">
        <v>12</v>
      </c>
      <c r="E163" s="2" t="n">
        <v>25</v>
      </c>
      <c r="F163" s="3" t="n">
        <v>129.99</v>
      </c>
      <c r="G163" s="2" t="s">
        <v>39</v>
      </c>
      <c r="H163" s="3" t="n">
        <f aca="false">E163*F163</f>
        <v>3249.75</v>
      </c>
      <c r="I163" s="2" t="str">
        <f aca="false">TEXT(A163,"MMM YYYY")</f>
        <v>Jun 2025</v>
      </c>
    </row>
    <row r="164" customFormat="false" ht="15" hidden="false" customHeight="false" outlineLevel="0" collapsed="false">
      <c r="A164" s="2" t="s">
        <v>140</v>
      </c>
      <c r="B164" s="2" t="s">
        <v>20</v>
      </c>
      <c r="C164" s="2" t="s">
        <v>24</v>
      </c>
      <c r="D164" s="2" t="s">
        <v>27</v>
      </c>
      <c r="E164" s="2" t="n">
        <v>5</v>
      </c>
      <c r="F164" s="3" t="n">
        <v>4.99</v>
      </c>
      <c r="G164" s="2" t="s">
        <v>13</v>
      </c>
      <c r="H164" s="3" t="n">
        <f aca="false">E164*F164</f>
        <v>24.95</v>
      </c>
      <c r="I164" s="2" t="str">
        <f aca="false">TEXT(A164,"MMM YYYY")</f>
        <v>Jun 2025</v>
      </c>
    </row>
    <row r="165" customFormat="false" ht="15" hidden="false" customHeight="false" outlineLevel="0" collapsed="false">
      <c r="A165" s="2" t="s">
        <v>140</v>
      </c>
      <c r="B165" s="2" t="s">
        <v>15</v>
      </c>
      <c r="C165" s="2" t="s">
        <v>24</v>
      </c>
      <c r="D165" s="2" t="s">
        <v>40</v>
      </c>
      <c r="E165" s="2" t="n">
        <v>12</v>
      </c>
      <c r="F165" s="3" t="n">
        <v>12.99</v>
      </c>
      <c r="G165" s="2" t="s">
        <v>18</v>
      </c>
      <c r="H165" s="3" t="n">
        <f aca="false">E165*F165</f>
        <v>155.88</v>
      </c>
      <c r="I165" s="2" t="str">
        <f aca="false">TEXT(A165,"MMM YYYY")</f>
        <v>Jun 2025</v>
      </c>
    </row>
    <row r="166" customFormat="false" ht="15" hidden="false" customHeight="false" outlineLevel="0" collapsed="false">
      <c r="A166" s="2" t="s">
        <v>140</v>
      </c>
      <c r="B166" s="2" t="s">
        <v>20</v>
      </c>
      <c r="C166" s="2" t="s">
        <v>11</v>
      </c>
      <c r="D166" s="2" t="s">
        <v>38</v>
      </c>
      <c r="E166" s="2" t="n">
        <v>17</v>
      </c>
      <c r="F166" s="3" t="n">
        <v>99.99</v>
      </c>
      <c r="G166" s="2" t="s">
        <v>39</v>
      </c>
      <c r="H166" s="3" t="n">
        <f aca="false">E166*F166</f>
        <v>1699.83</v>
      </c>
      <c r="I166" s="2" t="str">
        <f aca="false">TEXT(A166,"MMM YYYY")</f>
        <v>Jun 2025</v>
      </c>
    </row>
    <row r="167" customFormat="false" ht="15" hidden="false" customHeight="false" outlineLevel="0" collapsed="false">
      <c r="A167" s="2" t="s">
        <v>141</v>
      </c>
      <c r="B167" s="2" t="s">
        <v>15</v>
      </c>
      <c r="C167" s="2" t="s">
        <v>24</v>
      </c>
      <c r="D167" s="2" t="s">
        <v>34</v>
      </c>
      <c r="E167" s="2" t="n">
        <v>7</v>
      </c>
      <c r="F167" s="3" t="n">
        <v>6.99</v>
      </c>
      <c r="G167" s="2" t="s">
        <v>31</v>
      </c>
      <c r="H167" s="3" t="n">
        <f aca="false">E167*F167</f>
        <v>48.93</v>
      </c>
      <c r="I167" s="2" t="str">
        <f aca="false">TEXT(A167,"MMM YYYY")</f>
        <v>Jun 2025</v>
      </c>
    </row>
    <row r="168" customFormat="false" ht="15" hidden="false" customHeight="false" outlineLevel="0" collapsed="false">
      <c r="A168" s="2" t="s">
        <v>141</v>
      </c>
      <c r="B168" s="2" t="s">
        <v>20</v>
      </c>
      <c r="C168" s="2" t="s">
        <v>29</v>
      </c>
      <c r="D168" s="2" t="s">
        <v>32</v>
      </c>
      <c r="E168" s="2" t="n">
        <v>21</v>
      </c>
      <c r="F168" s="3" t="n">
        <v>34.99</v>
      </c>
      <c r="G168" s="2" t="s">
        <v>39</v>
      </c>
      <c r="H168" s="3" t="n">
        <f aca="false">E168*F168</f>
        <v>734.79</v>
      </c>
      <c r="I168" s="2" t="str">
        <f aca="false">TEXT(A168,"MMM YYYY")</f>
        <v>Jun 2025</v>
      </c>
    </row>
    <row r="169" customFormat="false" ht="15" hidden="false" customHeight="false" outlineLevel="0" collapsed="false">
      <c r="A169" s="2" t="s">
        <v>142</v>
      </c>
      <c r="B169" s="2" t="s">
        <v>23</v>
      </c>
      <c r="C169" s="2" t="s">
        <v>16</v>
      </c>
      <c r="D169" s="2" t="s">
        <v>42</v>
      </c>
      <c r="E169" s="2" t="n">
        <v>22</v>
      </c>
      <c r="F169" s="3" t="n">
        <v>649.99</v>
      </c>
      <c r="G169" s="2" t="s">
        <v>35</v>
      </c>
      <c r="H169" s="3" t="n">
        <f aca="false">E169*F169</f>
        <v>14299.78</v>
      </c>
      <c r="I169" s="2" t="str">
        <f aca="false">TEXT(A169,"MMM YYYY")</f>
        <v>Jun 2025</v>
      </c>
    </row>
    <row r="170" customFormat="false" ht="15" hidden="false" customHeight="false" outlineLevel="0" collapsed="false">
      <c r="A170" s="2" t="s">
        <v>142</v>
      </c>
      <c r="B170" s="2" t="s">
        <v>10</v>
      </c>
      <c r="C170" s="2" t="s">
        <v>16</v>
      </c>
      <c r="D170" s="2" t="s">
        <v>17</v>
      </c>
      <c r="E170" s="2" t="n">
        <v>21</v>
      </c>
      <c r="F170" s="3" t="n">
        <v>899.99</v>
      </c>
      <c r="G170" s="2" t="s">
        <v>31</v>
      </c>
      <c r="H170" s="3" t="n">
        <f aca="false">E170*F170</f>
        <v>18899.79</v>
      </c>
      <c r="I170" s="2" t="str">
        <f aca="false">TEXT(A170,"MMM YYYY")</f>
        <v>Jun 2025</v>
      </c>
    </row>
    <row r="171" customFormat="false" ht="15" hidden="false" customHeight="false" outlineLevel="0" collapsed="false">
      <c r="A171" s="2" t="s">
        <v>143</v>
      </c>
      <c r="B171" s="2" t="s">
        <v>10</v>
      </c>
      <c r="C171" s="2" t="s">
        <v>16</v>
      </c>
      <c r="D171" s="2" t="s">
        <v>17</v>
      </c>
      <c r="E171" s="2" t="n">
        <v>8</v>
      </c>
      <c r="F171" s="3" t="n">
        <v>899.99</v>
      </c>
      <c r="G171" s="2" t="s">
        <v>13</v>
      </c>
      <c r="H171" s="3" t="n">
        <f aca="false">E171*F171</f>
        <v>7199.92</v>
      </c>
      <c r="I171" s="2" t="str">
        <f aca="false">TEXT(A171,"MMM YYYY")</f>
        <v>Jun 2025</v>
      </c>
    </row>
    <row r="172" customFormat="false" ht="15" hidden="false" customHeight="false" outlineLevel="0" collapsed="false">
      <c r="A172" s="2" t="s">
        <v>143</v>
      </c>
      <c r="B172" s="2" t="s">
        <v>20</v>
      </c>
      <c r="C172" s="2" t="s">
        <v>16</v>
      </c>
      <c r="D172" s="2" t="s">
        <v>42</v>
      </c>
      <c r="E172" s="2" t="n">
        <v>13</v>
      </c>
      <c r="F172" s="3" t="n">
        <v>649.99</v>
      </c>
      <c r="G172" s="2" t="s">
        <v>18</v>
      </c>
      <c r="H172" s="3" t="n">
        <f aca="false">E172*F172</f>
        <v>8449.87</v>
      </c>
      <c r="I172" s="2" t="str">
        <f aca="false">TEXT(A172,"MMM YYYY")</f>
        <v>Jun 2025</v>
      </c>
    </row>
    <row r="173" customFormat="false" ht="15" hidden="false" customHeight="false" outlineLevel="0" collapsed="false">
      <c r="A173" s="2" t="s">
        <v>144</v>
      </c>
      <c r="B173" s="2" t="s">
        <v>10</v>
      </c>
      <c r="C173" s="2" t="s">
        <v>16</v>
      </c>
      <c r="D173" s="2" t="s">
        <v>42</v>
      </c>
      <c r="E173" s="2" t="n">
        <v>17</v>
      </c>
      <c r="F173" s="3" t="n">
        <v>649.99</v>
      </c>
      <c r="G173" s="2" t="s">
        <v>35</v>
      </c>
      <c r="H173" s="3" t="n">
        <f aca="false">E173*F173</f>
        <v>11049.83</v>
      </c>
      <c r="I173" s="2" t="str">
        <f aca="false">TEXT(A173,"MMM YYYY")</f>
        <v>Jun 2025</v>
      </c>
    </row>
    <row r="174" customFormat="false" ht="15" hidden="false" customHeight="false" outlineLevel="0" collapsed="false">
      <c r="A174" s="2" t="s">
        <v>145</v>
      </c>
      <c r="B174" s="2" t="s">
        <v>10</v>
      </c>
      <c r="C174" s="2" t="s">
        <v>16</v>
      </c>
      <c r="D174" s="2" t="s">
        <v>64</v>
      </c>
      <c r="E174" s="2" t="n">
        <v>11</v>
      </c>
      <c r="F174" s="3" t="n">
        <v>79.99</v>
      </c>
      <c r="G174" s="2" t="s">
        <v>39</v>
      </c>
      <c r="H174" s="3" t="n">
        <f aca="false">E174*F174</f>
        <v>879.89</v>
      </c>
      <c r="I174" s="2" t="str">
        <f aca="false">TEXT(A174,"MMM YYYY")</f>
        <v>Jun 2025</v>
      </c>
    </row>
    <row r="175" customFormat="false" ht="15" hidden="false" customHeight="false" outlineLevel="0" collapsed="false">
      <c r="A175" s="2" t="s">
        <v>145</v>
      </c>
      <c r="B175" s="2" t="s">
        <v>15</v>
      </c>
      <c r="C175" s="2" t="s">
        <v>29</v>
      </c>
      <c r="D175" s="2" t="s">
        <v>30</v>
      </c>
      <c r="E175" s="2" t="n">
        <v>20</v>
      </c>
      <c r="F175" s="3" t="n">
        <v>59.99</v>
      </c>
      <c r="G175" s="2" t="s">
        <v>31</v>
      </c>
      <c r="H175" s="3" t="n">
        <f aca="false">E175*F175</f>
        <v>1199.8</v>
      </c>
      <c r="I175" s="2" t="str">
        <f aca="false">TEXT(A175,"MMM YYYY")</f>
        <v>Jun 2025</v>
      </c>
    </row>
    <row r="176" customFormat="false" ht="15" hidden="false" customHeight="false" outlineLevel="0" collapsed="false">
      <c r="A176" s="2" t="s">
        <v>146</v>
      </c>
      <c r="B176" s="2" t="s">
        <v>20</v>
      </c>
      <c r="C176" s="2" t="s">
        <v>11</v>
      </c>
      <c r="D176" s="2" t="s">
        <v>93</v>
      </c>
      <c r="E176" s="2" t="n">
        <v>10</v>
      </c>
      <c r="F176" s="3" t="n">
        <v>189.99</v>
      </c>
      <c r="G176" s="2" t="s">
        <v>39</v>
      </c>
      <c r="H176" s="3" t="n">
        <f aca="false">E176*F176</f>
        <v>1899.9</v>
      </c>
      <c r="I176" s="2" t="str">
        <f aca="false">TEXT(A176,"MMM YYYY")</f>
        <v>Jun 2025</v>
      </c>
    </row>
    <row r="177" customFormat="false" ht="15" hidden="false" customHeight="false" outlineLevel="0" collapsed="false">
      <c r="A177" s="2" t="s">
        <v>147</v>
      </c>
      <c r="B177" s="2" t="s">
        <v>23</v>
      </c>
      <c r="C177" s="2" t="s">
        <v>11</v>
      </c>
      <c r="D177" s="2" t="s">
        <v>37</v>
      </c>
      <c r="E177" s="2" t="n">
        <v>7</v>
      </c>
      <c r="F177" s="3" t="n">
        <v>349.99</v>
      </c>
      <c r="G177" s="2" t="s">
        <v>31</v>
      </c>
      <c r="H177" s="3" t="n">
        <f aca="false">E177*F177</f>
        <v>2449.93</v>
      </c>
      <c r="I177" s="2" t="str">
        <f aca="false">TEXT(A177,"MMM YYYY")</f>
        <v>Jun 2025</v>
      </c>
    </row>
    <row r="178" customFormat="false" ht="15" hidden="false" customHeight="false" outlineLevel="0" collapsed="false">
      <c r="A178" s="2" t="s">
        <v>147</v>
      </c>
      <c r="B178" s="2" t="s">
        <v>23</v>
      </c>
      <c r="C178" s="2" t="s">
        <v>29</v>
      </c>
      <c r="D178" s="2" t="s">
        <v>51</v>
      </c>
      <c r="E178" s="2" t="n">
        <v>5</v>
      </c>
      <c r="F178" s="3" t="n">
        <v>119.99</v>
      </c>
      <c r="G178" s="2" t="s">
        <v>18</v>
      </c>
      <c r="H178" s="3" t="n">
        <f aca="false">E178*F178</f>
        <v>599.95</v>
      </c>
      <c r="I178" s="2" t="str">
        <f aca="false">TEXT(A178,"MMM YYYY")</f>
        <v>Jun 2025</v>
      </c>
    </row>
    <row r="179" customFormat="false" ht="15" hidden="false" customHeight="false" outlineLevel="0" collapsed="false">
      <c r="A179" s="2" t="s">
        <v>147</v>
      </c>
      <c r="B179" s="2" t="s">
        <v>15</v>
      </c>
      <c r="C179" s="2" t="s">
        <v>29</v>
      </c>
      <c r="D179" s="2" t="s">
        <v>32</v>
      </c>
      <c r="E179" s="2" t="n">
        <v>24</v>
      </c>
      <c r="F179" s="3" t="n">
        <v>34.99</v>
      </c>
      <c r="G179" s="2" t="s">
        <v>21</v>
      </c>
      <c r="H179" s="3" t="n">
        <f aca="false">E179*F179</f>
        <v>839.76</v>
      </c>
      <c r="I179" s="2" t="str">
        <f aca="false">TEXT(A179,"MMM YYYY")</f>
        <v>Jun 2025</v>
      </c>
    </row>
    <row r="180" customFormat="false" ht="15" hidden="false" customHeight="false" outlineLevel="0" collapsed="false">
      <c r="A180" s="2" t="s">
        <v>147</v>
      </c>
      <c r="B180" s="2" t="s">
        <v>20</v>
      </c>
      <c r="C180" s="2" t="s">
        <v>24</v>
      </c>
      <c r="D180" s="2" t="s">
        <v>25</v>
      </c>
      <c r="E180" s="2" t="n">
        <v>3</v>
      </c>
      <c r="F180" s="3" t="n">
        <v>8.99</v>
      </c>
      <c r="G180" s="2" t="s">
        <v>31</v>
      </c>
      <c r="H180" s="3" t="n">
        <f aca="false">E180*F180</f>
        <v>26.97</v>
      </c>
      <c r="I180" s="2" t="str">
        <f aca="false">TEXT(A180,"MMM YYYY")</f>
        <v>Jun 2025</v>
      </c>
    </row>
    <row r="181" customFormat="false" ht="15" hidden="false" customHeight="false" outlineLevel="0" collapsed="false">
      <c r="A181" s="2" t="s">
        <v>147</v>
      </c>
      <c r="B181" s="2" t="s">
        <v>10</v>
      </c>
      <c r="C181" s="2" t="s">
        <v>11</v>
      </c>
      <c r="D181" s="2" t="s">
        <v>37</v>
      </c>
      <c r="E181" s="2" t="n">
        <v>20</v>
      </c>
      <c r="F181" s="3" t="n">
        <v>349.99</v>
      </c>
      <c r="G181" s="2" t="s">
        <v>31</v>
      </c>
      <c r="H181" s="3" t="n">
        <f aca="false">E181*F181</f>
        <v>6999.8</v>
      </c>
      <c r="I181" s="2" t="str">
        <f aca="false">TEXT(A181,"MMM YYYY")</f>
        <v>Jun 2025</v>
      </c>
    </row>
    <row r="182" customFormat="false" ht="15" hidden="false" customHeight="false" outlineLevel="0" collapsed="false">
      <c r="A182" s="2" t="s">
        <v>148</v>
      </c>
      <c r="B182" s="2" t="s">
        <v>10</v>
      </c>
      <c r="C182" s="2" t="s">
        <v>16</v>
      </c>
      <c r="D182" s="2" t="s">
        <v>42</v>
      </c>
      <c r="E182" s="2" t="n">
        <v>24</v>
      </c>
      <c r="F182" s="3" t="n">
        <v>649.99</v>
      </c>
      <c r="G182" s="2" t="s">
        <v>35</v>
      </c>
      <c r="H182" s="3" t="n">
        <f aca="false">E182*F182</f>
        <v>15599.76</v>
      </c>
      <c r="I182" s="2" t="str">
        <f aca="false">TEXT(A182,"MMM YYYY")</f>
        <v>Jun 2025</v>
      </c>
    </row>
    <row r="183" customFormat="false" ht="15" hidden="false" customHeight="false" outlineLevel="0" collapsed="false">
      <c r="A183" s="2" t="s">
        <v>148</v>
      </c>
      <c r="B183" s="2" t="s">
        <v>20</v>
      </c>
      <c r="C183" s="2" t="s">
        <v>24</v>
      </c>
      <c r="D183" s="2" t="s">
        <v>40</v>
      </c>
      <c r="E183" s="2" t="n">
        <v>24</v>
      </c>
      <c r="F183" s="3" t="n">
        <v>12.99</v>
      </c>
      <c r="G183" s="2" t="s">
        <v>35</v>
      </c>
      <c r="H183" s="3" t="n">
        <f aca="false">E183*F183</f>
        <v>311.76</v>
      </c>
      <c r="I183" s="2" t="str">
        <f aca="false">TEXT(A183,"MMM YYYY")</f>
        <v>Jun 2025</v>
      </c>
    </row>
    <row r="184" customFormat="false" ht="15" hidden="false" customHeight="false" outlineLevel="0" collapsed="false">
      <c r="A184" s="2" t="s">
        <v>149</v>
      </c>
      <c r="B184" s="2" t="s">
        <v>10</v>
      </c>
      <c r="C184" s="2" t="s">
        <v>29</v>
      </c>
      <c r="D184" s="2" t="s">
        <v>51</v>
      </c>
      <c r="E184" s="2" t="n">
        <v>13</v>
      </c>
      <c r="F184" s="3" t="n">
        <v>119.99</v>
      </c>
      <c r="G184" s="2" t="s">
        <v>31</v>
      </c>
      <c r="H184" s="3" t="n">
        <f aca="false">E184*F184</f>
        <v>1559.87</v>
      </c>
      <c r="I184" s="2" t="str">
        <f aca="false">TEXT(A184,"MMM YYYY")</f>
        <v>Jun 2025</v>
      </c>
    </row>
    <row r="185" customFormat="false" ht="15" hidden="false" customHeight="false" outlineLevel="0" collapsed="false">
      <c r="A185" s="2" t="s">
        <v>149</v>
      </c>
      <c r="B185" s="2" t="s">
        <v>10</v>
      </c>
      <c r="C185" s="2" t="s">
        <v>29</v>
      </c>
      <c r="D185" s="2" t="s">
        <v>32</v>
      </c>
      <c r="E185" s="2" t="n">
        <v>11</v>
      </c>
      <c r="F185" s="3" t="n">
        <v>34.99</v>
      </c>
      <c r="G185" s="2" t="s">
        <v>18</v>
      </c>
      <c r="H185" s="3" t="n">
        <f aca="false">E185*F185</f>
        <v>384.89</v>
      </c>
      <c r="I185" s="2" t="str">
        <f aca="false">TEXT(A185,"MMM YYYY")</f>
        <v>Jun 2025</v>
      </c>
    </row>
    <row r="186" customFormat="false" ht="15" hidden="false" customHeight="false" outlineLevel="0" collapsed="false">
      <c r="A186" s="2" t="s">
        <v>149</v>
      </c>
      <c r="B186" s="2" t="s">
        <v>20</v>
      </c>
      <c r="C186" s="2" t="s">
        <v>16</v>
      </c>
      <c r="D186" s="2" t="s">
        <v>71</v>
      </c>
      <c r="E186" s="2" t="n">
        <v>24</v>
      </c>
      <c r="F186" s="3" t="n">
        <v>229.99</v>
      </c>
      <c r="G186" s="2" t="s">
        <v>35</v>
      </c>
      <c r="H186" s="3" t="n">
        <f aca="false">E186*F186</f>
        <v>5519.76</v>
      </c>
      <c r="I186" s="2" t="str">
        <f aca="false">TEXT(A186,"MMM YYYY")</f>
        <v>Jun 2025</v>
      </c>
    </row>
    <row r="187" customFormat="false" ht="15" hidden="false" customHeight="false" outlineLevel="0" collapsed="false">
      <c r="A187" s="2" t="s">
        <v>149</v>
      </c>
      <c r="B187" s="2" t="s">
        <v>15</v>
      </c>
      <c r="C187" s="2" t="s">
        <v>11</v>
      </c>
      <c r="D187" s="2" t="s">
        <v>12</v>
      </c>
      <c r="E187" s="2" t="n">
        <v>17</v>
      </c>
      <c r="F187" s="3" t="n">
        <v>129.99</v>
      </c>
      <c r="G187" s="2" t="s">
        <v>31</v>
      </c>
      <c r="H187" s="3" t="n">
        <f aca="false">E187*F187</f>
        <v>2209.83</v>
      </c>
      <c r="I187" s="2" t="str">
        <f aca="false">TEXT(A187,"MMM YYYY")</f>
        <v>Jun 2025</v>
      </c>
    </row>
    <row r="188" customFormat="false" ht="15" hidden="false" customHeight="false" outlineLevel="0" collapsed="false">
      <c r="A188" s="2" t="s">
        <v>150</v>
      </c>
      <c r="B188" s="2" t="s">
        <v>10</v>
      </c>
      <c r="C188" s="2" t="s">
        <v>16</v>
      </c>
      <c r="D188" s="2" t="s">
        <v>42</v>
      </c>
      <c r="E188" s="2" t="n">
        <v>19</v>
      </c>
      <c r="F188" s="3" t="n">
        <v>649.99</v>
      </c>
      <c r="G188" s="2" t="s">
        <v>18</v>
      </c>
      <c r="H188" s="3" t="n">
        <f aca="false">E188*F188</f>
        <v>12349.81</v>
      </c>
      <c r="I188" s="2" t="str">
        <f aca="false">TEXT(A188,"MMM YYYY")</f>
        <v>Jun 2025</v>
      </c>
    </row>
    <row r="189" customFormat="false" ht="15" hidden="false" customHeight="false" outlineLevel="0" collapsed="false">
      <c r="A189" s="2" t="s">
        <v>150</v>
      </c>
      <c r="B189" s="2" t="s">
        <v>15</v>
      </c>
      <c r="C189" s="2" t="s">
        <v>16</v>
      </c>
      <c r="D189" s="2" t="s">
        <v>42</v>
      </c>
      <c r="E189" s="2" t="n">
        <v>20</v>
      </c>
      <c r="F189" s="3" t="n">
        <v>649.99</v>
      </c>
      <c r="G189" s="2" t="s">
        <v>39</v>
      </c>
      <c r="H189" s="3" t="n">
        <f aca="false">E189*F189</f>
        <v>12999.8</v>
      </c>
      <c r="I189" s="2" t="str">
        <f aca="false">TEXT(A189,"MMM YYYY")</f>
        <v>Jun 2025</v>
      </c>
    </row>
    <row r="190" customFormat="false" ht="15" hidden="false" customHeight="false" outlineLevel="0" collapsed="false">
      <c r="A190" s="2" t="s">
        <v>151</v>
      </c>
      <c r="B190" s="2" t="s">
        <v>20</v>
      </c>
      <c r="C190" s="2" t="s">
        <v>24</v>
      </c>
      <c r="D190" s="2" t="s">
        <v>34</v>
      </c>
      <c r="E190" s="2" t="n">
        <v>23</v>
      </c>
      <c r="F190" s="3" t="n">
        <v>6.99</v>
      </c>
      <c r="G190" s="2" t="s">
        <v>31</v>
      </c>
      <c r="H190" s="3" t="n">
        <f aca="false">E190*F190</f>
        <v>160.77</v>
      </c>
      <c r="I190" s="2" t="str">
        <f aca="false">TEXT(A190,"MMM YYYY")</f>
        <v>Jul 2025</v>
      </c>
    </row>
    <row r="191" customFormat="false" ht="15" hidden="false" customHeight="false" outlineLevel="0" collapsed="false">
      <c r="A191" s="2" t="s">
        <v>152</v>
      </c>
      <c r="B191" s="2" t="s">
        <v>10</v>
      </c>
      <c r="C191" s="2" t="s">
        <v>11</v>
      </c>
      <c r="D191" s="2" t="s">
        <v>93</v>
      </c>
      <c r="E191" s="2" t="n">
        <v>8</v>
      </c>
      <c r="F191" s="3" t="n">
        <v>189.99</v>
      </c>
      <c r="G191" s="2" t="s">
        <v>31</v>
      </c>
      <c r="H191" s="3" t="n">
        <f aca="false">E191*F191</f>
        <v>1519.92</v>
      </c>
      <c r="I191" s="2" t="str">
        <f aca="false">TEXT(A191,"MMM YYYY")</f>
        <v>Jul 2025</v>
      </c>
    </row>
    <row r="192" customFormat="false" ht="15" hidden="false" customHeight="false" outlineLevel="0" collapsed="false">
      <c r="A192" s="2" t="s">
        <v>152</v>
      </c>
      <c r="B192" s="2" t="s">
        <v>23</v>
      </c>
      <c r="C192" s="2" t="s">
        <v>29</v>
      </c>
      <c r="D192" s="2" t="s">
        <v>30</v>
      </c>
      <c r="E192" s="2" t="n">
        <v>20</v>
      </c>
      <c r="F192" s="3" t="n">
        <v>59.99</v>
      </c>
      <c r="G192" s="2" t="s">
        <v>21</v>
      </c>
      <c r="H192" s="3" t="n">
        <f aca="false">E192*F192</f>
        <v>1199.8</v>
      </c>
      <c r="I192" s="2" t="str">
        <f aca="false">TEXT(A192,"MMM YYYY")</f>
        <v>Jul 2025</v>
      </c>
    </row>
    <row r="193" customFormat="false" ht="15" hidden="false" customHeight="false" outlineLevel="0" collapsed="false">
      <c r="A193" s="2" t="s">
        <v>153</v>
      </c>
      <c r="B193" s="2" t="s">
        <v>20</v>
      </c>
      <c r="C193" s="2" t="s">
        <v>16</v>
      </c>
      <c r="D193" s="2" t="s">
        <v>42</v>
      </c>
      <c r="E193" s="2" t="n">
        <v>11</v>
      </c>
      <c r="F193" s="3" t="n">
        <v>649.99</v>
      </c>
      <c r="G193" s="2" t="s">
        <v>13</v>
      </c>
      <c r="H193" s="3" t="n">
        <f aca="false">E193*F193</f>
        <v>7149.89</v>
      </c>
      <c r="I193" s="2" t="str">
        <f aca="false">TEXT(A193,"MMM YYYY")</f>
        <v>Jul 2025</v>
      </c>
    </row>
    <row r="194" customFormat="false" ht="15" hidden="false" customHeight="false" outlineLevel="0" collapsed="false">
      <c r="A194" s="2" t="s">
        <v>154</v>
      </c>
      <c r="B194" s="2" t="s">
        <v>10</v>
      </c>
      <c r="C194" s="2" t="s">
        <v>29</v>
      </c>
      <c r="D194" s="2" t="s">
        <v>51</v>
      </c>
      <c r="E194" s="2" t="n">
        <v>20</v>
      </c>
      <c r="F194" s="3" t="n">
        <v>119.99</v>
      </c>
      <c r="G194" s="2" t="s">
        <v>18</v>
      </c>
      <c r="H194" s="3" t="n">
        <f aca="false">E194*F194</f>
        <v>2399.8</v>
      </c>
      <c r="I194" s="2" t="str">
        <f aca="false">TEXT(A194,"MMM YYYY")</f>
        <v>Jul 2025</v>
      </c>
    </row>
    <row r="195" customFormat="false" ht="15" hidden="false" customHeight="false" outlineLevel="0" collapsed="false">
      <c r="A195" s="2" t="s">
        <v>155</v>
      </c>
      <c r="B195" s="2" t="s">
        <v>10</v>
      </c>
      <c r="C195" s="2" t="s">
        <v>16</v>
      </c>
      <c r="D195" s="2" t="s">
        <v>45</v>
      </c>
      <c r="E195" s="2" t="n">
        <v>19</v>
      </c>
      <c r="F195" s="3" t="n">
        <v>349.99</v>
      </c>
      <c r="G195" s="2" t="s">
        <v>35</v>
      </c>
      <c r="H195" s="3" t="n">
        <f aca="false">E195*F195</f>
        <v>6649.81</v>
      </c>
      <c r="I195" s="2" t="str">
        <f aca="false">TEXT(A195,"MMM YYYY")</f>
        <v>Jul 2025</v>
      </c>
    </row>
    <row r="196" customFormat="false" ht="15" hidden="false" customHeight="false" outlineLevel="0" collapsed="false">
      <c r="A196" s="2" t="s">
        <v>156</v>
      </c>
      <c r="B196" s="2" t="s">
        <v>10</v>
      </c>
      <c r="C196" s="2" t="s">
        <v>11</v>
      </c>
      <c r="D196" s="2" t="s">
        <v>38</v>
      </c>
      <c r="E196" s="2" t="n">
        <v>18</v>
      </c>
      <c r="F196" s="3" t="n">
        <v>99.99</v>
      </c>
      <c r="G196" s="2" t="s">
        <v>13</v>
      </c>
      <c r="H196" s="3" t="n">
        <f aca="false">E196*F196</f>
        <v>1799.82</v>
      </c>
      <c r="I196" s="2" t="str">
        <f aca="false">TEXT(A196,"MMM YYYY")</f>
        <v>Jul 2025</v>
      </c>
    </row>
    <row r="197" customFormat="false" ht="15" hidden="false" customHeight="false" outlineLevel="0" collapsed="false">
      <c r="A197" s="2" t="s">
        <v>157</v>
      </c>
      <c r="B197" s="2" t="s">
        <v>15</v>
      </c>
      <c r="C197" s="2" t="s">
        <v>11</v>
      </c>
      <c r="D197" s="2" t="s">
        <v>37</v>
      </c>
      <c r="E197" s="2" t="n">
        <v>17</v>
      </c>
      <c r="F197" s="3" t="n">
        <v>349.99</v>
      </c>
      <c r="G197" s="2" t="s">
        <v>39</v>
      </c>
      <c r="H197" s="3" t="n">
        <f aca="false">E197*F197</f>
        <v>5949.83</v>
      </c>
      <c r="I197" s="2" t="str">
        <f aca="false">TEXT(A197,"MMM YYYY")</f>
        <v>Jul 2025</v>
      </c>
    </row>
    <row r="198" customFormat="false" ht="15" hidden="false" customHeight="false" outlineLevel="0" collapsed="false">
      <c r="A198" s="2" t="s">
        <v>158</v>
      </c>
      <c r="B198" s="2" t="s">
        <v>23</v>
      </c>
      <c r="C198" s="2" t="s">
        <v>11</v>
      </c>
      <c r="D198" s="2" t="s">
        <v>12</v>
      </c>
      <c r="E198" s="2" t="n">
        <v>4</v>
      </c>
      <c r="F198" s="3" t="n">
        <v>129.99</v>
      </c>
      <c r="G198" s="2" t="s">
        <v>18</v>
      </c>
      <c r="H198" s="3" t="n">
        <f aca="false">E198*F198</f>
        <v>519.96</v>
      </c>
      <c r="I198" s="2" t="str">
        <f aca="false">TEXT(A198,"MMM YYYY")</f>
        <v>Jul 2025</v>
      </c>
    </row>
    <row r="199" customFormat="false" ht="15" hidden="false" customHeight="false" outlineLevel="0" collapsed="false">
      <c r="A199" s="2" t="s">
        <v>159</v>
      </c>
      <c r="B199" s="2" t="s">
        <v>23</v>
      </c>
      <c r="C199" s="2" t="s">
        <v>29</v>
      </c>
      <c r="D199" s="2" t="s">
        <v>56</v>
      </c>
      <c r="E199" s="2" t="n">
        <v>15</v>
      </c>
      <c r="F199" s="3" t="n">
        <v>149.99</v>
      </c>
      <c r="G199" s="2" t="s">
        <v>35</v>
      </c>
      <c r="H199" s="3" t="n">
        <f aca="false">E199*F199</f>
        <v>2249.85</v>
      </c>
      <c r="I199" s="2" t="str">
        <f aca="false">TEXT(A199,"MMM YYYY")</f>
        <v>Jul 2025</v>
      </c>
    </row>
    <row r="200" customFormat="false" ht="15" hidden="false" customHeight="false" outlineLevel="0" collapsed="false">
      <c r="A200" s="2" t="s">
        <v>159</v>
      </c>
      <c r="B200" s="2" t="s">
        <v>10</v>
      </c>
      <c r="C200" s="2" t="s">
        <v>11</v>
      </c>
      <c r="D200" s="2" t="s">
        <v>38</v>
      </c>
      <c r="E200" s="2" t="n">
        <v>11</v>
      </c>
      <c r="F200" s="3" t="n">
        <v>99.99</v>
      </c>
      <c r="G200" s="2" t="s">
        <v>35</v>
      </c>
      <c r="H200" s="3" t="n">
        <f aca="false">E200*F200</f>
        <v>1099.89</v>
      </c>
      <c r="I200" s="2" t="str">
        <f aca="false">TEXT(A200,"MMM YYYY")</f>
        <v>Jul 2025</v>
      </c>
    </row>
    <row r="201" customFormat="false" ht="15" hidden="false" customHeight="false" outlineLevel="0" collapsed="false">
      <c r="A201" s="2" t="s">
        <v>159</v>
      </c>
      <c r="B201" s="2" t="s">
        <v>10</v>
      </c>
      <c r="C201" s="2" t="s">
        <v>29</v>
      </c>
      <c r="D201" s="2" t="s">
        <v>56</v>
      </c>
      <c r="E201" s="2" t="n">
        <v>3</v>
      </c>
      <c r="F201" s="3" t="n">
        <v>149.99</v>
      </c>
      <c r="G201" s="2" t="s">
        <v>39</v>
      </c>
      <c r="H201" s="3" t="n">
        <f aca="false">E201*F201</f>
        <v>449.97</v>
      </c>
      <c r="I201" s="2" t="str">
        <f aca="false">TEXT(A201,"MMM YYYY")</f>
        <v>Jul 2025</v>
      </c>
    </row>
    <row r="202" customFormat="false" ht="15" hidden="false" customHeight="false" outlineLevel="0" collapsed="false">
      <c r="A202" s="2" t="s">
        <v>160</v>
      </c>
      <c r="B202" s="2" t="s">
        <v>20</v>
      </c>
      <c r="C202" s="2" t="s">
        <v>29</v>
      </c>
      <c r="D202" s="2" t="s">
        <v>30</v>
      </c>
      <c r="E202" s="2" t="n">
        <v>8</v>
      </c>
      <c r="F202" s="3" t="n">
        <v>59.99</v>
      </c>
      <c r="G202" s="2" t="s">
        <v>39</v>
      </c>
      <c r="H202" s="3" t="n">
        <f aca="false">E202*F202</f>
        <v>479.92</v>
      </c>
      <c r="I202" s="2" t="str">
        <f aca="false">TEXT(A202,"MMM YYYY")</f>
        <v>Jul 2025</v>
      </c>
    </row>
    <row r="203" customFormat="false" ht="15" hidden="false" customHeight="false" outlineLevel="0" collapsed="false">
      <c r="A203" s="2" t="s">
        <v>160</v>
      </c>
      <c r="B203" s="2" t="s">
        <v>15</v>
      </c>
      <c r="C203" s="2" t="s">
        <v>11</v>
      </c>
      <c r="D203" s="2" t="s">
        <v>37</v>
      </c>
      <c r="E203" s="2" t="n">
        <v>20</v>
      </c>
      <c r="F203" s="3" t="n">
        <v>349.99</v>
      </c>
      <c r="G203" s="2" t="s">
        <v>18</v>
      </c>
      <c r="H203" s="3" t="n">
        <f aca="false">E203*F203</f>
        <v>6999.8</v>
      </c>
      <c r="I203" s="2" t="str">
        <f aca="false">TEXT(A203,"MMM YYYY")</f>
        <v>Jul 2025</v>
      </c>
    </row>
    <row r="204" customFormat="false" ht="15" hidden="false" customHeight="false" outlineLevel="0" collapsed="false">
      <c r="A204" s="2" t="s">
        <v>161</v>
      </c>
      <c r="B204" s="2" t="s">
        <v>15</v>
      </c>
      <c r="C204" s="2" t="s">
        <v>16</v>
      </c>
      <c r="D204" s="2" t="s">
        <v>45</v>
      </c>
      <c r="E204" s="2" t="n">
        <v>19</v>
      </c>
      <c r="F204" s="3" t="n">
        <v>349.99</v>
      </c>
      <c r="G204" s="2" t="s">
        <v>13</v>
      </c>
      <c r="H204" s="3" t="n">
        <f aca="false">E204*F204</f>
        <v>6649.81</v>
      </c>
      <c r="I204" s="2" t="str">
        <f aca="false">TEXT(A204,"MMM YYYY")</f>
        <v>Jul 2025</v>
      </c>
    </row>
    <row r="205" customFormat="false" ht="15" hidden="false" customHeight="false" outlineLevel="0" collapsed="false">
      <c r="A205" s="2" t="s">
        <v>161</v>
      </c>
      <c r="B205" s="2" t="s">
        <v>15</v>
      </c>
      <c r="C205" s="2" t="s">
        <v>11</v>
      </c>
      <c r="D205" s="2" t="s">
        <v>37</v>
      </c>
      <c r="E205" s="2" t="n">
        <v>11</v>
      </c>
      <c r="F205" s="3" t="n">
        <v>349.99</v>
      </c>
      <c r="G205" s="2" t="s">
        <v>31</v>
      </c>
      <c r="H205" s="3" t="n">
        <f aca="false">E205*F205</f>
        <v>3849.89</v>
      </c>
      <c r="I205" s="2" t="str">
        <f aca="false">TEXT(A205,"MMM YYYY")</f>
        <v>Jul 2025</v>
      </c>
    </row>
    <row r="206" customFormat="false" ht="15" hidden="false" customHeight="false" outlineLevel="0" collapsed="false">
      <c r="A206" s="2" t="s">
        <v>162</v>
      </c>
      <c r="B206" s="2" t="s">
        <v>10</v>
      </c>
      <c r="C206" s="2" t="s">
        <v>24</v>
      </c>
      <c r="D206" s="2" t="s">
        <v>34</v>
      </c>
      <c r="E206" s="2" t="n">
        <v>12</v>
      </c>
      <c r="F206" s="3" t="n">
        <v>6.99</v>
      </c>
      <c r="G206" s="2" t="s">
        <v>21</v>
      </c>
      <c r="H206" s="3" t="n">
        <f aca="false">E206*F206</f>
        <v>83.88</v>
      </c>
      <c r="I206" s="2" t="str">
        <f aca="false">TEXT(A206,"MMM YYYY")</f>
        <v>Jul 2025</v>
      </c>
    </row>
    <row r="207" customFormat="false" ht="15" hidden="false" customHeight="false" outlineLevel="0" collapsed="false">
      <c r="A207" s="2" t="s">
        <v>163</v>
      </c>
      <c r="B207" s="2" t="s">
        <v>23</v>
      </c>
      <c r="C207" s="2" t="s">
        <v>29</v>
      </c>
      <c r="D207" s="2" t="s">
        <v>32</v>
      </c>
      <c r="E207" s="2" t="n">
        <v>1</v>
      </c>
      <c r="F207" s="3" t="n">
        <v>34.99</v>
      </c>
      <c r="G207" s="2" t="s">
        <v>35</v>
      </c>
      <c r="H207" s="3" t="n">
        <f aca="false">E207*F207</f>
        <v>34.99</v>
      </c>
      <c r="I207" s="2" t="str">
        <f aca="false">TEXT(A207,"MMM YYYY")</f>
        <v>Jul 2025</v>
      </c>
    </row>
    <row r="208" customFormat="false" ht="15" hidden="false" customHeight="false" outlineLevel="0" collapsed="false">
      <c r="A208" s="2" t="s">
        <v>164</v>
      </c>
      <c r="B208" s="2" t="s">
        <v>10</v>
      </c>
      <c r="C208" s="2" t="s">
        <v>16</v>
      </c>
      <c r="D208" s="2" t="s">
        <v>71</v>
      </c>
      <c r="E208" s="2" t="n">
        <v>22</v>
      </c>
      <c r="F208" s="3" t="n">
        <v>229.99</v>
      </c>
      <c r="G208" s="2" t="s">
        <v>13</v>
      </c>
      <c r="H208" s="3" t="n">
        <f aca="false">E208*F208</f>
        <v>5059.78</v>
      </c>
      <c r="I208" s="2" t="str">
        <f aca="false">TEXT(A208,"MMM YYYY")</f>
        <v>Jul 2025</v>
      </c>
    </row>
    <row r="209" customFormat="false" ht="15" hidden="false" customHeight="false" outlineLevel="0" collapsed="false">
      <c r="A209" s="2" t="s">
        <v>164</v>
      </c>
      <c r="B209" s="2" t="s">
        <v>10</v>
      </c>
      <c r="C209" s="2" t="s">
        <v>16</v>
      </c>
      <c r="D209" s="2" t="s">
        <v>64</v>
      </c>
      <c r="E209" s="2" t="n">
        <v>19</v>
      </c>
      <c r="F209" s="3" t="n">
        <v>79.99</v>
      </c>
      <c r="G209" s="2" t="s">
        <v>21</v>
      </c>
      <c r="H209" s="3" t="n">
        <f aca="false">E209*F209</f>
        <v>1519.81</v>
      </c>
      <c r="I209" s="2" t="str">
        <f aca="false">TEXT(A209,"MMM YYYY")</f>
        <v>Jul 2025</v>
      </c>
    </row>
    <row r="210" customFormat="false" ht="15" hidden="false" customHeight="false" outlineLevel="0" collapsed="false">
      <c r="A210" s="2" t="s">
        <v>165</v>
      </c>
      <c r="B210" s="2" t="s">
        <v>23</v>
      </c>
      <c r="C210" s="2" t="s">
        <v>24</v>
      </c>
      <c r="D210" s="2" t="s">
        <v>27</v>
      </c>
      <c r="E210" s="2" t="n">
        <v>11</v>
      </c>
      <c r="F210" s="3" t="n">
        <v>4.99</v>
      </c>
      <c r="G210" s="2" t="s">
        <v>13</v>
      </c>
      <c r="H210" s="3" t="n">
        <f aca="false">E210*F210</f>
        <v>54.89</v>
      </c>
      <c r="I210" s="2" t="str">
        <f aca="false">TEXT(A210,"MMM YYYY")</f>
        <v>Jul 2025</v>
      </c>
    </row>
    <row r="211" customFormat="false" ht="15" hidden="false" customHeight="false" outlineLevel="0" collapsed="false">
      <c r="A211" s="2" t="s">
        <v>165</v>
      </c>
      <c r="B211" s="2" t="s">
        <v>15</v>
      </c>
      <c r="C211" s="2" t="s">
        <v>11</v>
      </c>
      <c r="D211" s="2" t="s">
        <v>12</v>
      </c>
      <c r="E211" s="2" t="n">
        <v>2</v>
      </c>
      <c r="F211" s="3" t="n">
        <v>129.99</v>
      </c>
      <c r="G211" s="2" t="s">
        <v>21</v>
      </c>
      <c r="H211" s="3" t="n">
        <f aca="false">E211*F211</f>
        <v>259.98</v>
      </c>
      <c r="I211" s="2" t="str">
        <f aca="false">TEXT(A211,"MMM YYYY")</f>
        <v>Jul 2025</v>
      </c>
    </row>
    <row r="212" customFormat="false" ht="15" hidden="false" customHeight="false" outlineLevel="0" collapsed="false">
      <c r="A212" s="2" t="s">
        <v>166</v>
      </c>
      <c r="B212" s="2" t="s">
        <v>10</v>
      </c>
      <c r="C212" s="2" t="s">
        <v>29</v>
      </c>
      <c r="D212" s="2" t="s">
        <v>32</v>
      </c>
      <c r="E212" s="2" t="n">
        <v>4</v>
      </c>
      <c r="F212" s="3" t="n">
        <v>34.99</v>
      </c>
      <c r="G212" s="2" t="s">
        <v>18</v>
      </c>
      <c r="H212" s="3" t="n">
        <f aca="false">E212*F212</f>
        <v>139.96</v>
      </c>
      <c r="I212" s="2" t="str">
        <f aca="false">TEXT(A212,"MMM YYYY")</f>
        <v>Jul 2025</v>
      </c>
    </row>
    <row r="213" customFormat="false" ht="15" hidden="false" customHeight="false" outlineLevel="0" collapsed="false">
      <c r="A213" s="2" t="s">
        <v>166</v>
      </c>
      <c r="B213" s="2" t="s">
        <v>10</v>
      </c>
      <c r="C213" s="2" t="s">
        <v>16</v>
      </c>
      <c r="D213" s="2" t="s">
        <v>17</v>
      </c>
      <c r="E213" s="2" t="n">
        <v>9</v>
      </c>
      <c r="F213" s="3" t="n">
        <v>899.99</v>
      </c>
      <c r="G213" s="2" t="s">
        <v>18</v>
      </c>
      <c r="H213" s="3" t="n">
        <f aca="false">E213*F213</f>
        <v>8099.91</v>
      </c>
      <c r="I213" s="2" t="str">
        <f aca="false">TEXT(A213,"MMM YYYY")</f>
        <v>Jul 2025</v>
      </c>
    </row>
    <row r="214" customFormat="false" ht="15" hidden="false" customHeight="false" outlineLevel="0" collapsed="false">
      <c r="A214" s="2" t="s">
        <v>166</v>
      </c>
      <c r="B214" s="2" t="s">
        <v>15</v>
      </c>
      <c r="C214" s="2" t="s">
        <v>29</v>
      </c>
      <c r="D214" s="2" t="s">
        <v>56</v>
      </c>
      <c r="E214" s="2" t="n">
        <v>6</v>
      </c>
      <c r="F214" s="3" t="n">
        <v>149.99</v>
      </c>
      <c r="G214" s="2" t="s">
        <v>39</v>
      </c>
      <c r="H214" s="3" t="n">
        <f aca="false">E214*F214</f>
        <v>899.94</v>
      </c>
      <c r="I214" s="2" t="str">
        <f aca="false">TEXT(A214,"MMM YYYY")</f>
        <v>Jul 2025</v>
      </c>
    </row>
    <row r="215" customFormat="false" ht="15" hidden="false" customHeight="false" outlineLevel="0" collapsed="false">
      <c r="A215" s="2" t="s">
        <v>167</v>
      </c>
      <c r="B215" s="2" t="s">
        <v>15</v>
      </c>
      <c r="C215" s="2" t="s">
        <v>16</v>
      </c>
      <c r="D215" s="2" t="s">
        <v>45</v>
      </c>
      <c r="E215" s="2" t="n">
        <v>23</v>
      </c>
      <c r="F215" s="3" t="n">
        <v>349.99</v>
      </c>
      <c r="G215" s="2" t="s">
        <v>39</v>
      </c>
      <c r="H215" s="3" t="n">
        <f aca="false">E215*F215</f>
        <v>8049.77</v>
      </c>
      <c r="I215" s="2" t="str">
        <f aca="false">TEXT(A215,"MMM YYYY")</f>
        <v>Jul 2025</v>
      </c>
    </row>
    <row r="216" customFormat="false" ht="15" hidden="false" customHeight="false" outlineLevel="0" collapsed="false">
      <c r="A216" s="2" t="s">
        <v>167</v>
      </c>
      <c r="B216" s="2" t="s">
        <v>23</v>
      </c>
      <c r="C216" s="2" t="s">
        <v>11</v>
      </c>
      <c r="D216" s="2" t="s">
        <v>12</v>
      </c>
      <c r="E216" s="2" t="n">
        <v>18</v>
      </c>
      <c r="F216" s="3" t="n">
        <v>129.99</v>
      </c>
      <c r="G216" s="2" t="s">
        <v>35</v>
      </c>
      <c r="H216" s="3" t="n">
        <f aca="false">E216*F216</f>
        <v>2339.82</v>
      </c>
      <c r="I216" s="2" t="str">
        <f aca="false">TEXT(A216,"MMM YYYY")</f>
        <v>Jul 2025</v>
      </c>
    </row>
    <row r="217" customFormat="false" ht="15" hidden="false" customHeight="false" outlineLevel="0" collapsed="false">
      <c r="A217" s="2" t="s">
        <v>167</v>
      </c>
      <c r="B217" s="2" t="s">
        <v>23</v>
      </c>
      <c r="C217" s="2" t="s">
        <v>16</v>
      </c>
      <c r="D217" s="2" t="s">
        <v>17</v>
      </c>
      <c r="E217" s="2" t="n">
        <v>5</v>
      </c>
      <c r="F217" s="3" t="n">
        <v>899.99</v>
      </c>
      <c r="G217" s="2" t="s">
        <v>13</v>
      </c>
      <c r="H217" s="3" t="n">
        <f aca="false">E217*F217</f>
        <v>4499.95</v>
      </c>
      <c r="I217" s="2" t="str">
        <f aca="false">TEXT(A217,"MMM YYYY")</f>
        <v>Jul 2025</v>
      </c>
    </row>
    <row r="218" customFormat="false" ht="15" hidden="false" customHeight="false" outlineLevel="0" collapsed="false">
      <c r="A218" s="2" t="s">
        <v>168</v>
      </c>
      <c r="B218" s="2" t="s">
        <v>23</v>
      </c>
      <c r="C218" s="2" t="s">
        <v>24</v>
      </c>
      <c r="D218" s="2" t="s">
        <v>25</v>
      </c>
      <c r="E218" s="2" t="n">
        <v>20</v>
      </c>
      <c r="F218" s="3" t="n">
        <v>8.99</v>
      </c>
      <c r="G218" s="2" t="s">
        <v>39</v>
      </c>
      <c r="H218" s="3" t="n">
        <f aca="false">E218*F218</f>
        <v>179.8</v>
      </c>
      <c r="I218" s="2" t="str">
        <f aca="false">TEXT(A218,"MMM YYYY")</f>
        <v>Jul 2025</v>
      </c>
    </row>
    <row r="219" customFormat="false" ht="15" hidden="false" customHeight="false" outlineLevel="0" collapsed="false">
      <c r="A219" s="2" t="s">
        <v>169</v>
      </c>
      <c r="B219" s="2" t="s">
        <v>20</v>
      </c>
      <c r="C219" s="2" t="s">
        <v>11</v>
      </c>
      <c r="D219" s="2" t="s">
        <v>37</v>
      </c>
      <c r="E219" s="2" t="n">
        <v>6</v>
      </c>
      <c r="F219" s="3" t="n">
        <v>349.99</v>
      </c>
      <c r="G219" s="2" t="s">
        <v>39</v>
      </c>
      <c r="H219" s="3" t="n">
        <f aca="false">E219*F219</f>
        <v>2099.94</v>
      </c>
      <c r="I219" s="2" t="str">
        <f aca="false">TEXT(A219,"MMM YYYY")</f>
        <v>Jul 2025</v>
      </c>
    </row>
    <row r="220" customFormat="false" ht="15" hidden="false" customHeight="false" outlineLevel="0" collapsed="false">
      <c r="A220" s="2" t="s">
        <v>169</v>
      </c>
      <c r="B220" s="2" t="s">
        <v>15</v>
      </c>
      <c r="C220" s="2" t="s">
        <v>29</v>
      </c>
      <c r="D220" s="2" t="s">
        <v>30</v>
      </c>
      <c r="E220" s="2" t="n">
        <v>25</v>
      </c>
      <c r="F220" s="3" t="n">
        <v>59.99</v>
      </c>
      <c r="G220" s="2" t="s">
        <v>35</v>
      </c>
      <c r="H220" s="3" t="n">
        <f aca="false">E220*F220</f>
        <v>1499.75</v>
      </c>
      <c r="I220" s="2" t="str">
        <f aca="false">TEXT(A220,"MMM YYYY")</f>
        <v>Jul 2025</v>
      </c>
    </row>
    <row r="221" customFormat="false" ht="15" hidden="false" customHeight="false" outlineLevel="0" collapsed="false">
      <c r="A221" s="2" t="s">
        <v>170</v>
      </c>
      <c r="B221" s="2" t="s">
        <v>15</v>
      </c>
      <c r="C221" s="2" t="s">
        <v>29</v>
      </c>
      <c r="D221" s="2" t="s">
        <v>56</v>
      </c>
      <c r="E221" s="2" t="n">
        <v>2</v>
      </c>
      <c r="F221" s="3" t="n">
        <v>149.99</v>
      </c>
      <c r="G221" s="2" t="s">
        <v>18</v>
      </c>
      <c r="H221" s="3" t="n">
        <f aca="false">E221*F221</f>
        <v>299.98</v>
      </c>
      <c r="I221" s="2" t="str">
        <f aca="false">TEXT(A221,"MMM YYYY")</f>
        <v>Jul 2025</v>
      </c>
    </row>
    <row r="222" customFormat="false" ht="15" hidden="false" customHeight="false" outlineLevel="0" collapsed="false">
      <c r="A222" s="2" t="s">
        <v>170</v>
      </c>
      <c r="B222" s="2" t="s">
        <v>10</v>
      </c>
      <c r="C222" s="2" t="s">
        <v>16</v>
      </c>
      <c r="D222" s="2" t="s">
        <v>42</v>
      </c>
      <c r="E222" s="2" t="n">
        <v>3</v>
      </c>
      <c r="F222" s="3" t="n">
        <v>649.99</v>
      </c>
      <c r="G222" s="2" t="s">
        <v>35</v>
      </c>
      <c r="H222" s="3" t="n">
        <f aca="false">E222*F222</f>
        <v>1949.97</v>
      </c>
      <c r="I222" s="2" t="str">
        <f aca="false">TEXT(A222,"MMM YYYY")</f>
        <v>Jul 2025</v>
      </c>
    </row>
    <row r="223" customFormat="false" ht="15" hidden="false" customHeight="false" outlineLevel="0" collapsed="false">
      <c r="A223" s="2" t="s">
        <v>170</v>
      </c>
      <c r="B223" s="2" t="s">
        <v>23</v>
      </c>
      <c r="C223" s="2" t="s">
        <v>11</v>
      </c>
      <c r="D223" s="2" t="s">
        <v>12</v>
      </c>
      <c r="E223" s="2" t="n">
        <v>21</v>
      </c>
      <c r="F223" s="3" t="n">
        <v>129.99</v>
      </c>
      <c r="G223" s="2" t="s">
        <v>21</v>
      </c>
      <c r="H223" s="3" t="n">
        <f aca="false">E223*F223</f>
        <v>2729.79</v>
      </c>
      <c r="I223" s="2" t="str">
        <f aca="false">TEXT(A223,"MMM YYYY")</f>
        <v>Jul 2025</v>
      </c>
    </row>
    <row r="224" customFormat="false" ht="15" hidden="false" customHeight="false" outlineLevel="0" collapsed="false">
      <c r="A224" s="2" t="s">
        <v>171</v>
      </c>
      <c r="B224" s="2" t="s">
        <v>20</v>
      </c>
      <c r="C224" s="2" t="s">
        <v>11</v>
      </c>
      <c r="D224" s="2" t="s">
        <v>37</v>
      </c>
      <c r="E224" s="2" t="n">
        <v>18</v>
      </c>
      <c r="F224" s="3" t="n">
        <v>349.99</v>
      </c>
      <c r="G224" s="2" t="s">
        <v>35</v>
      </c>
      <c r="H224" s="3" t="n">
        <f aca="false">E224*F224</f>
        <v>6299.82</v>
      </c>
      <c r="I224" s="2" t="str">
        <f aca="false">TEXT(A224,"MMM YYYY")</f>
        <v>Aug 2025</v>
      </c>
    </row>
    <row r="225" customFormat="false" ht="15" hidden="false" customHeight="false" outlineLevel="0" collapsed="false">
      <c r="A225" s="2" t="s">
        <v>172</v>
      </c>
      <c r="B225" s="2" t="s">
        <v>20</v>
      </c>
      <c r="C225" s="2" t="s">
        <v>29</v>
      </c>
      <c r="D225" s="2" t="s">
        <v>30</v>
      </c>
      <c r="E225" s="2" t="n">
        <v>14</v>
      </c>
      <c r="F225" s="3" t="n">
        <v>59.99</v>
      </c>
      <c r="G225" s="2" t="s">
        <v>31</v>
      </c>
      <c r="H225" s="3" t="n">
        <f aca="false">E225*F225</f>
        <v>839.86</v>
      </c>
      <c r="I225" s="2" t="str">
        <f aca="false">TEXT(A225,"MMM YYYY")</f>
        <v>Aug 2025</v>
      </c>
    </row>
    <row r="226" customFormat="false" ht="15" hidden="false" customHeight="false" outlineLevel="0" collapsed="false">
      <c r="A226" s="2" t="s">
        <v>173</v>
      </c>
      <c r="B226" s="2" t="s">
        <v>15</v>
      </c>
      <c r="C226" s="2" t="s">
        <v>11</v>
      </c>
      <c r="D226" s="2" t="s">
        <v>37</v>
      </c>
      <c r="E226" s="2" t="n">
        <v>10</v>
      </c>
      <c r="F226" s="3" t="n">
        <v>349.99</v>
      </c>
      <c r="G226" s="2" t="s">
        <v>18</v>
      </c>
      <c r="H226" s="3" t="n">
        <f aca="false">E226*F226</f>
        <v>3499.9</v>
      </c>
      <c r="I226" s="2" t="str">
        <f aca="false">TEXT(A226,"MMM YYYY")</f>
        <v>Aug 2025</v>
      </c>
    </row>
    <row r="227" customFormat="false" ht="15" hidden="false" customHeight="false" outlineLevel="0" collapsed="false">
      <c r="A227" s="2" t="s">
        <v>173</v>
      </c>
      <c r="B227" s="2" t="s">
        <v>23</v>
      </c>
      <c r="C227" s="2" t="s">
        <v>24</v>
      </c>
      <c r="D227" s="2" t="s">
        <v>40</v>
      </c>
      <c r="E227" s="2" t="n">
        <v>12</v>
      </c>
      <c r="F227" s="3" t="n">
        <v>12.99</v>
      </c>
      <c r="G227" s="2" t="s">
        <v>21</v>
      </c>
      <c r="H227" s="3" t="n">
        <f aca="false">E227*F227</f>
        <v>155.88</v>
      </c>
      <c r="I227" s="2" t="str">
        <f aca="false">TEXT(A227,"MMM YYYY")</f>
        <v>Aug 2025</v>
      </c>
    </row>
    <row r="228" customFormat="false" ht="15" hidden="false" customHeight="false" outlineLevel="0" collapsed="false">
      <c r="A228" s="2" t="s">
        <v>174</v>
      </c>
      <c r="B228" s="2" t="s">
        <v>23</v>
      </c>
      <c r="C228" s="2" t="s">
        <v>29</v>
      </c>
      <c r="D228" s="2" t="s">
        <v>30</v>
      </c>
      <c r="E228" s="2" t="n">
        <v>18</v>
      </c>
      <c r="F228" s="3" t="n">
        <v>59.99</v>
      </c>
      <c r="G228" s="2" t="s">
        <v>35</v>
      </c>
      <c r="H228" s="3" t="n">
        <f aca="false">E228*F228</f>
        <v>1079.82</v>
      </c>
      <c r="I228" s="2" t="str">
        <f aca="false">TEXT(A228,"MMM YYYY")</f>
        <v>Aug 2025</v>
      </c>
    </row>
    <row r="229" customFormat="false" ht="15" hidden="false" customHeight="false" outlineLevel="0" collapsed="false">
      <c r="A229" s="2" t="s">
        <v>175</v>
      </c>
      <c r="B229" s="2" t="s">
        <v>20</v>
      </c>
      <c r="C229" s="2" t="s">
        <v>29</v>
      </c>
      <c r="D229" s="2" t="s">
        <v>30</v>
      </c>
      <c r="E229" s="2" t="n">
        <v>2</v>
      </c>
      <c r="F229" s="3" t="n">
        <v>59.99</v>
      </c>
      <c r="G229" s="2" t="s">
        <v>35</v>
      </c>
      <c r="H229" s="3" t="n">
        <f aca="false">E229*F229</f>
        <v>119.98</v>
      </c>
      <c r="I229" s="2" t="str">
        <f aca="false">TEXT(A229,"MMM YYYY")</f>
        <v>Aug 2025</v>
      </c>
    </row>
    <row r="230" customFormat="false" ht="15" hidden="false" customHeight="false" outlineLevel="0" collapsed="false">
      <c r="A230" s="2" t="s">
        <v>175</v>
      </c>
      <c r="B230" s="2" t="s">
        <v>23</v>
      </c>
      <c r="C230" s="2" t="s">
        <v>24</v>
      </c>
      <c r="D230" s="2" t="s">
        <v>34</v>
      </c>
      <c r="E230" s="2" t="n">
        <v>6</v>
      </c>
      <c r="F230" s="3" t="n">
        <v>6.99</v>
      </c>
      <c r="G230" s="2" t="s">
        <v>35</v>
      </c>
      <c r="H230" s="3" t="n">
        <f aca="false">E230*F230</f>
        <v>41.94</v>
      </c>
      <c r="I230" s="2" t="str">
        <f aca="false">TEXT(A230,"MMM YYYY")</f>
        <v>Aug 2025</v>
      </c>
    </row>
    <row r="231" customFormat="false" ht="15" hidden="false" customHeight="false" outlineLevel="0" collapsed="false">
      <c r="A231" s="2" t="s">
        <v>176</v>
      </c>
      <c r="B231" s="2" t="s">
        <v>10</v>
      </c>
      <c r="C231" s="2" t="s">
        <v>29</v>
      </c>
      <c r="D231" s="2" t="s">
        <v>30</v>
      </c>
      <c r="E231" s="2" t="n">
        <v>14</v>
      </c>
      <c r="F231" s="3" t="n">
        <v>59.99</v>
      </c>
      <c r="G231" s="2" t="s">
        <v>18</v>
      </c>
      <c r="H231" s="3" t="n">
        <f aca="false">E231*F231</f>
        <v>839.86</v>
      </c>
      <c r="I231" s="2" t="str">
        <f aca="false">TEXT(A231,"MMM YYYY")</f>
        <v>Aug 2025</v>
      </c>
    </row>
    <row r="232" customFormat="false" ht="15" hidden="false" customHeight="false" outlineLevel="0" collapsed="false">
      <c r="A232" s="2" t="s">
        <v>176</v>
      </c>
      <c r="B232" s="2" t="s">
        <v>23</v>
      </c>
      <c r="C232" s="2" t="s">
        <v>24</v>
      </c>
      <c r="D232" s="2" t="s">
        <v>25</v>
      </c>
      <c r="E232" s="2" t="n">
        <v>18</v>
      </c>
      <c r="F232" s="3" t="n">
        <v>8.99</v>
      </c>
      <c r="G232" s="2" t="s">
        <v>21</v>
      </c>
      <c r="H232" s="3" t="n">
        <f aca="false">E232*F232</f>
        <v>161.82</v>
      </c>
      <c r="I232" s="2" t="str">
        <f aca="false">TEXT(A232,"MMM YYYY")</f>
        <v>Aug 2025</v>
      </c>
    </row>
    <row r="233" customFormat="false" ht="15" hidden="false" customHeight="false" outlineLevel="0" collapsed="false">
      <c r="A233" s="2" t="s">
        <v>177</v>
      </c>
      <c r="B233" s="2" t="s">
        <v>15</v>
      </c>
      <c r="C233" s="2" t="s">
        <v>16</v>
      </c>
      <c r="D233" s="2" t="s">
        <v>45</v>
      </c>
      <c r="E233" s="2" t="n">
        <v>10</v>
      </c>
      <c r="F233" s="3" t="n">
        <v>349.99</v>
      </c>
      <c r="G233" s="2" t="s">
        <v>13</v>
      </c>
      <c r="H233" s="3" t="n">
        <f aca="false">E233*F233</f>
        <v>3499.9</v>
      </c>
      <c r="I233" s="2" t="str">
        <f aca="false">TEXT(A233,"MMM YYYY")</f>
        <v>Aug 2025</v>
      </c>
    </row>
    <row r="234" customFormat="false" ht="15" hidden="false" customHeight="false" outlineLevel="0" collapsed="false">
      <c r="A234" s="2" t="s">
        <v>178</v>
      </c>
      <c r="B234" s="2" t="s">
        <v>23</v>
      </c>
      <c r="C234" s="2" t="s">
        <v>11</v>
      </c>
      <c r="D234" s="2" t="s">
        <v>93</v>
      </c>
      <c r="E234" s="2" t="n">
        <v>8</v>
      </c>
      <c r="F234" s="3" t="n">
        <v>189.99</v>
      </c>
      <c r="G234" s="2" t="s">
        <v>13</v>
      </c>
      <c r="H234" s="3" t="n">
        <f aca="false">E234*F234</f>
        <v>1519.92</v>
      </c>
      <c r="I234" s="2" t="str">
        <f aca="false">TEXT(A234,"MMM YYYY")</f>
        <v>Aug 2025</v>
      </c>
    </row>
    <row r="235" customFormat="false" ht="15" hidden="false" customHeight="false" outlineLevel="0" collapsed="false">
      <c r="A235" s="2" t="s">
        <v>179</v>
      </c>
      <c r="B235" s="2" t="s">
        <v>15</v>
      </c>
      <c r="C235" s="2" t="s">
        <v>16</v>
      </c>
      <c r="D235" s="2" t="s">
        <v>17</v>
      </c>
      <c r="E235" s="2" t="n">
        <v>3</v>
      </c>
      <c r="F235" s="3" t="n">
        <v>899.99</v>
      </c>
      <c r="G235" s="2" t="s">
        <v>13</v>
      </c>
      <c r="H235" s="3" t="n">
        <f aca="false">E235*F235</f>
        <v>2699.97</v>
      </c>
      <c r="I235" s="2" t="str">
        <f aca="false">TEXT(A235,"MMM YYYY")</f>
        <v>Aug 2025</v>
      </c>
    </row>
    <row r="236" customFormat="false" ht="15" hidden="false" customHeight="false" outlineLevel="0" collapsed="false">
      <c r="A236" s="2" t="s">
        <v>179</v>
      </c>
      <c r="B236" s="2" t="s">
        <v>23</v>
      </c>
      <c r="C236" s="2" t="s">
        <v>11</v>
      </c>
      <c r="D236" s="2" t="s">
        <v>38</v>
      </c>
      <c r="E236" s="2" t="n">
        <v>3</v>
      </c>
      <c r="F236" s="3" t="n">
        <v>99.99</v>
      </c>
      <c r="G236" s="2" t="s">
        <v>31</v>
      </c>
      <c r="H236" s="3" t="n">
        <f aca="false">E236*F236</f>
        <v>299.97</v>
      </c>
      <c r="I236" s="2" t="str">
        <f aca="false">TEXT(A236,"MMM YYYY")</f>
        <v>Aug 2025</v>
      </c>
    </row>
    <row r="237" customFormat="false" ht="15" hidden="false" customHeight="false" outlineLevel="0" collapsed="false">
      <c r="A237" s="2" t="s">
        <v>180</v>
      </c>
      <c r="B237" s="2" t="s">
        <v>23</v>
      </c>
      <c r="C237" s="2" t="s">
        <v>24</v>
      </c>
      <c r="D237" s="2" t="s">
        <v>40</v>
      </c>
      <c r="E237" s="2" t="n">
        <v>23</v>
      </c>
      <c r="F237" s="3" t="n">
        <v>12.99</v>
      </c>
      <c r="G237" s="2" t="s">
        <v>21</v>
      </c>
      <c r="H237" s="3" t="n">
        <f aca="false">E237*F237</f>
        <v>298.77</v>
      </c>
      <c r="I237" s="2" t="str">
        <f aca="false">TEXT(A237,"MMM YYYY")</f>
        <v>Aug 2025</v>
      </c>
    </row>
    <row r="238" customFormat="false" ht="15" hidden="false" customHeight="false" outlineLevel="0" collapsed="false">
      <c r="A238" s="2" t="s">
        <v>181</v>
      </c>
      <c r="B238" s="2" t="s">
        <v>10</v>
      </c>
      <c r="C238" s="2" t="s">
        <v>24</v>
      </c>
      <c r="D238" s="2" t="s">
        <v>40</v>
      </c>
      <c r="E238" s="2" t="n">
        <v>19</v>
      </c>
      <c r="F238" s="3" t="n">
        <v>12.99</v>
      </c>
      <c r="G238" s="2" t="s">
        <v>13</v>
      </c>
      <c r="H238" s="3" t="n">
        <f aca="false">E238*F238</f>
        <v>246.81</v>
      </c>
      <c r="I238" s="2" t="str">
        <f aca="false">TEXT(A238,"MMM YYYY")</f>
        <v>Aug 2025</v>
      </c>
    </row>
    <row r="239" customFormat="false" ht="15" hidden="false" customHeight="false" outlineLevel="0" collapsed="false">
      <c r="A239" s="2" t="s">
        <v>181</v>
      </c>
      <c r="B239" s="2" t="s">
        <v>23</v>
      </c>
      <c r="C239" s="2" t="s">
        <v>29</v>
      </c>
      <c r="D239" s="2" t="s">
        <v>30</v>
      </c>
      <c r="E239" s="2" t="n">
        <v>17</v>
      </c>
      <c r="F239" s="3" t="n">
        <v>59.99</v>
      </c>
      <c r="G239" s="2" t="s">
        <v>39</v>
      </c>
      <c r="H239" s="3" t="n">
        <f aca="false">E239*F239</f>
        <v>1019.83</v>
      </c>
      <c r="I239" s="2" t="str">
        <f aca="false">TEXT(A239,"MMM YYYY")</f>
        <v>Aug 2025</v>
      </c>
    </row>
    <row r="240" customFormat="false" ht="15" hidden="false" customHeight="false" outlineLevel="0" collapsed="false">
      <c r="A240" s="2" t="s">
        <v>182</v>
      </c>
      <c r="B240" s="2" t="s">
        <v>20</v>
      </c>
      <c r="C240" s="2" t="s">
        <v>29</v>
      </c>
      <c r="D240" s="2" t="s">
        <v>30</v>
      </c>
      <c r="E240" s="2" t="n">
        <v>9</v>
      </c>
      <c r="F240" s="3" t="n">
        <v>59.99</v>
      </c>
      <c r="G240" s="2" t="s">
        <v>39</v>
      </c>
      <c r="H240" s="3" t="n">
        <f aca="false">E240*F240</f>
        <v>539.91</v>
      </c>
      <c r="I240" s="2" t="str">
        <f aca="false">TEXT(A240,"MMM YYYY")</f>
        <v>Aug 2025</v>
      </c>
    </row>
    <row r="241" customFormat="false" ht="15" hidden="false" customHeight="false" outlineLevel="0" collapsed="false">
      <c r="A241" s="2" t="s">
        <v>183</v>
      </c>
      <c r="B241" s="2" t="s">
        <v>10</v>
      </c>
      <c r="C241" s="2" t="s">
        <v>11</v>
      </c>
      <c r="D241" s="2" t="s">
        <v>12</v>
      </c>
      <c r="E241" s="2" t="n">
        <v>25</v>
      </c>
      <c r="F241" s="3" t="n">
        <v>129.99</v>
      </c>
      <c r="G241" s="2" t="s">
        <v>31</v>
      </c>
      <c r="H241" s="3" t="n">
        <f aca="false">E241*F241</f>
        <v>3249.75</v>
      </c>
      <c r="I241" s="2" t="str">
        <f aca="false">TEXT(A241,"MMM YYYY")</f>
        <v>Aug 2025</v>
      </c>
    </row>
    <row r="242" customFormat="false" ht="15" hidden="false" customHeight="false" outlineLevel="0" collapsed="false">
      <c r="A242" s="2" t="s">
        <v>183</v>
      </c>
      <c r="B242" s="2" t="s">
        <v>20</v>
      </c>
      <c r="C242" s="2" t="s">
        <v>29</v>
      </c>
      <c r="D242" s="2" t="s">
        <v>32</v>
      </c>
      <c r="E242" s="2" t="n">
        <v>11</v>
      </c>
      <c r="F242" s="3" t="n">
        <v>34.99</v>
      </c>
      <c r="G242" s="2" t="s">
        <v>21</v>
      </c>
      <c r="H242" s="3" t="n">
        <f aca="false">E242*F242</f>
        <v>384.89</v>
      </c>
      <c r="I242" s="2" t="str">
        <f aca="false">TEXT(A242,"MMM YYYY")</f>
        <v>Aug 2025</v>
      </c>
    </row>
    <row r="243" customFormat="false" ht="15" hidden="false" customHeight="false" outlineLevel="0" collapsed="false">
      <c r="A243" s="2" t="s">
        <v>183</v>
      </c>
      <c r="B243" s="2" t="s">
        <v>10</v>
      </c>
      <c r="C243" s="2" t="s">
        <v>16</v>
      </c>
      <c r="D243" s="2" t="s">
        <v>45</v>
      </c>
      <c r="E243" s="2" t="n">
        <v>2</v>
      </c>
      <c r="F243" s="3" t="n">
        <v>349.99</v>
      </c>
      <c r="G243" s="2" t="s">
        <v>39</v>
      </c>
      <c r="H243" s="3" t="n">
        <f aca="false">E243*F243</f>
        <v>699.98</v>
      </c>
      <c r="I243" s="2" t="str">
        <f aca="false">TEXT(A243,"MMM YYYY")</f>
        <v>Aug 2025</v>
      </c>
    </row>
    <row r="244" customFormat="false" ht="15" hidden="false" customHeight="false" outlineLevel="0" collapsed="false">
      <c r="A244" s="2" t="s">
        <v>183</v>
      </c>
      <c r="B244" s="2" t="s">
        <v>15</v>
      </c>
      <c r="C244" s="2" t="s">
        <v>24</v>
      </c>
      <c r="D244" s="2" t="s">
        <v>25</v>
      </c>
      <c r="E244" s="2" t="n">
        <v>25</v>
      </c>
      <c r="F244" s="3" t="n">
        <v>8.99</v>
      </c>
      <c r="G244" s="2" t="s">
        <v>31</v>
      </c>
      <c r="H244" s="3" t="n">
        <f aca="false">E244*F244</f>
        <v>224.75</v>
      </c>
      <c r="I244" s="2" t="str">
        <f aca="false">TEXT(A244,"MMM YYYY")</f>
        <v>Aug 2025</v>
      </c>
    </row>
    <row r="245" customFormat="false" ht="15" hidden="false" customHeight="false" outlineLevel="0" collapsed="false">
      <c r="A245" s="2" t="s">
        <v>183</v>
      </c>
      <c r="B245" s="2" t="s">
        <v>20</v>
      </c>
      <c r="C245" s="2" t="s">
        <v>11</v>
      </c>
      <c r="D245" s="2" t="s">
        <v>93</v>
      </c>
      <c r="E245" s="2" t="n">
        <v>2</v>
      </c>
      <c r="F245" s="3" t="n">
        <v>189.99</v>
      </c>
      <c r="G245" s="2" t="s">
        <v>35</v>
      </c>
      <c r="H245" s="3" t="n">
        <f aca="false">E245*F245</f>
        <v>379.98</v>
      </c>
      <c r="I245" s="2" t="str">
        <f aca="false">TEXT(A245,"MMM YYYY")</f>
        <v>Aug 2025</v>
      </c>
    </row>
    <row r="246" customFormat="false" ht="15" hidden="false" customHeight="false" outlineLevel="0" collapsed="false">
      <c r="A246" s="2" t="s">
        <v>184</v>
      </c>
      <c r="B246" s="2" t="s">
        <v>20</v>
      </c>
      <c r="C246" s="2" t="s">
        <v>29</v>
      </c>
      <c r="D246" s="2" t="s">
        <v>56</v>
      </c>
      <c r="E246" s="2" t="n">
        <v>25</v>
      </c>
      <c r="F246" s="3" t="n">
        <v>149.99</v>
      </c>
      <c r="G246" s="2" t="s">
        <v>39</v>
      </c>
      <c r="H246" s="3" t="n">
        <f aca="false">E246*F246</f>
        <v>3749.75</v>
      </c>
      <c r="I246" s="2" t="str">
        <f aca="false">TEXT(A246,"MMM YYYY")</f>
        <v>Aug 2025</v>
      </c>
    </row>
    <row r="247" customFormat="false" ht="15" hidden="false" customHeight="false" outlineLevel="0" collapsed="false">
      <c r="A247" s="2" t="s">
        <v>184</v>
      </c>
      <c r="B247" s="2" t="s">
        <v>23</v>
      </c>
      <c r="C247" s="2" t="s">
        <v>11</v>
      </c>
      <c r="D247" s="2" t="s">
        <v>38</v>
      </c>
      <c r="E247" s="2" t="n">
        <v>21</v>
      </c>
      <c r="F247" s="3" t="n">
        <v>99.99</v>
      </c>
      <c r="G247" s="2" t="s">
        <v>18</v>
      </c>
      <c r="H247" s="3" t="n">
        <f aca="false">E247*F247</f>
        <v>2099.79</v>
      </c>
      <c r="I247" s="2" t="str">
        <f aca="false">TEXT(A247,"MMM YYYY")</f>
        <v>Aug 2025</v>
      </c>
    </row>
    <row r="248" customFormat="false" ht="15" hidden="false" customHeight="false" outlineLevel="0" collapsed="false">
      <c r="A248" s="2" t="s">
        <v>184</v>
      </c>
      <c r="B248" s="2" t="s">
        <v>23</v>
      </c>
      <c r="C248" s="2" t="s">
        <v>29</v>
      </c>
      <c r="D248" s="2" t="s">
        <v>56</v>
      </c>
      <c r="E248" s="2" t="n">
        <v>24</v>
      </c>
      <c r="F248" s="3" t="n">
        <v>149.99</v>
      </c>
      <c r="G248" s="2" t="s">
        <v>21</v>
      </c>
      <c r="H248" s="3" t="n">
        <f aca="false">E248*F248</f>
        <v>3599.76</v>
      </c>
      <c r="I248" s="2" t="str">
        <f aca="false">TEXT(A248,"MMM YYYY")</f>
        <v>Aug 2025</v>
      </c>
    </row>
    <row r="249" customFormat="false" ht="15" hidden="false" customHeight="false" outlineLevel="0" collapsed="false">
      <c r="A249" s="2" t="s">
        <v>185</v>
      </c>
      <c r="B249" s="2" t="s">
        <v>23</v>
      </c>
      <c r="C249" s="2" t="s">
        <v>16</v>
      </c>
      <c r="D249" s="2" t="s">
        <v>45</v>
      </c>
      <c r="E249" s="2" t="n">
        <v>20</v>
      </c>
      <c r="F249" s="3" t="n">
        <v>349.99</v>
      </c>
      <c r="G249" s="2" t="s">
        <v>31</v>
      </c>
      <c r="H249" s="3" t="n">
        <f aca="false">E249*F249</f>
        <v>6999.8</v>
      </c>
      <c r="I249" s="2" t="str">
        <f aca="false">TEXT(A249,"MMM YYYY")</f>
        <v>Aug 2025</v>
      </c>
    </row>
    <row r="250" customFormat="false" ht="15" hidden="false" customHeight="false" outlineLevel="0" collapsed="false">
      <c r="A250" s="2" t="s">
        <v>185</v>
      </c>
      <c r="B250" s="2" t="s">
        <v>23</v>
      </c>
      <c r="C250" s="2" t="s">
        <v>24</v>
      </c>
      <c r="D250" s="2" t="s">
        <v>25</v>
      </c>
      <c r="E250" s="2" t="n">
        <v>2</v>
      </c>
      <c r="F250" s="3" t="n">
        <v>8.99</v>
      </c>
      <c r="G250" s="2" t="s">
        <v>18</v>
      </c>
      <c r="H250" s="3" t="n">
        <f aca="false">E250*F250</f>
        <v>17.98</v>
      </c>
      <c r="I250" s="2" t="str">
        <f aca="false">TEXT(A250,"MMM YYYY")</f>
        <v>Aug 2025</v>
      </c>
    </row>
    <row r="251" customFormat="false" ht="15" hidden="false" customHeight="false" outlineLevel="0" collapsed="false">
      <c r="A251" s="2" t="s">
        <v>186</v>
      </c>
      <c r="B251" s="2" t="s">
        <v>23</v>
      </c>
      <c r="C251" s="2" t="s">
        <v>29</v>
      </c>
      <c r="D251" s="2" t="s">
        <v>51</v>
      </c>
      <c r="E251" s="2" t="n">
        <v>18</v>
      </c>
      <c r="F251" s="3" t="n">
        <v>119.99</v>
      </c>
      <c r="G251" s="2" t="s">
        <v>35</v>
      </c>
      <c r="H251" s="3" t="n">
        <f aca="false">E251*F251</f>
        <v>2159.82</v>
      </c>
      <c r="I251" s="2" t="str">
        <f aca="false">TEXT(A251,"MMM YYYY")</f>
        <v>Aug 2025</v>
      </c>
    </row>
    <row r="252" customFormat="false" ht="15" hidden="false" customHeight="false" outlineLevel="0" collapsed="false">
      <c r="A252" s="2" t="s">
        <v>186</v>
      </c>
      <c r="B252" s="2" t="s">
        <v>10</v>
      </c>
      <c r="C252" s="2" t="s">
        <v>24</v>
      </c>
      <c r="D252" s="2" t="s">
        <v>40</v>
      </c>
      <c r="E252" s="2" t="n">
        <v>20</v>
      </c>
      <c r="F252" s="3" t="n">
        <v>12.99</v>
      </c>
      <c r="G252" s="2" t="s">
        <v>39</v>
      </c>
      <c r="H252" s="3" t="n">
        <f aca="false">E252*F252</f>
        <v>259.8</v>
      </c>
      <c r="I252" s="2" t="str">
        <f aca="false">TEXT(A252,"MMM YYYY")</f>
        <v>Aug 2025</v>
      </c>
    </row>
    <row r="253" customFormat="false" ht="15" hidden="false" customHeight="false" outlineLevel="0" collapsed="false">
      <c r="A253" s="2" t="s">
        <v>186</v>
      </c>
      <c r="B253" s="2" t="s">
        <v>10</v>
      </c>
      <c r="C253" s="2" t="s">
        <v>11</v>
      </c>
      <c r="D253" s="2" t="s">
        <v>12</v>
      </c>
      <c r="E253" s="2" t="n">
        <v>7</v>
      </c>
      <c r="F253" s="3" t="n">
        <v>129.99</v>
      </c>
      <c r="G253" s="2" t="s">
        <v>13</v>
      </c>
      <c r="H253" s="3" t="n">
        <f aca="false">E253*F253</f>
        <v>909.93</v>
      </c>
      <c r="I253" s="2" t="str">
        <f aca="false">TEXT(A253,"MMM YYYY")</f>
        <v>Aug 2025</v>
      </c>
    </row>
    <row r="254" customFormat="false" ht="15" hidden="false" customHeight="false" outlineLevel="0" collapsed="false">
      <c r="A254" s="2" t="s">
        <v>187</v>
      </c>
      <c r="B254" s="2" t="s">
        <v>10</v>
      </c>
      <c r="C254" s="2" t="s">
        <v>11</v>
      </c>
      <c r="D254" s="2" t="s">
        <v>93</v>
      </c>
      <c r="E254" s="2" t="n">
        <v>15</v>
      </c>
      <c r="F254" s="3" t="n">
        <v>189.99</v>
      </c>
      <c r="G254" s="2" t="s">
        <v>35</v>
      </c>
      <c r="H254" s="3" t="n">
        <f aca="false">E254*F254</f>
        <v>2849.85</v>
      </c>
      <c r="I254" s="2" t="str">
        <f aca="false">TEXT(A254,"MMM YYYY")</f>
        <v>Aug 2025</v>
      </c>
    </row>
    <row r="255" customFormat="false" ht="15" hidden="false" customHeight="false" outlineLevel="0" collapsed="false">
      <c r="A255" s="2" t="s">
        <v>188</v>
      </c>
      <c r="B255" s="2" t="s">
        <v>23</v>
      </c>
      <c r="C255" s="2" t="s">
        <v>16</v>
      </c>
      <c r="D255" s="2" t="s">
        <v>17</v>
      </c>
      <c r="E255" s="2" t="n">
        <v>13</v>
      </c>
      <c r="F255" s="3" t="n">
        <v>899.99</v>
      </c>
      <c r="G255" s="2" t="s">
        <v>13</v>
      </c>
      <c r="H255" s="3" t="n">
        <f aca="false">E255*F255</f>
        <v>11699.87</v>
      </c>
      <c r="I255" s="2" t="str">
        <f aca="false">TEXT(A255,"MMM YYYY")</f>
        <v>Aug 2025</v>
      </c>
    </row>
    <row r="256" customFormat="false" ht="15" hidden="false" customHeight="false" outlineLevel="0" collapsed="false">
      <c r="A256" s="2" t="s">
        <v>189</v>
      </c>
      <c r="B256" s="2" t="s">
        <v>20</v>
      </c>
      <c r="C256" s="2" t="s">
        <v>11</v>
      </c>
      <c r="D256" s="2" t="s">
        <v>38</v>
      </c>
      <c r="E256" s="2" t="n">
        <v>12</v>
      </c>
      <c r="F256" s="3" t="n">
        <v>99.99</v>
      </c>
      <c r="G256" s="2" t="s">
        <v>35</v>
      </c>
      <c r="H256" s="3" t="n">
        <f aca="false">E256*F256</f>
        <v>1199.88</v>
      </c>
      <c r="I256" s="2" t="str">
        <f aca="false">TEXT(A256,"MMM YYYY")</f>
        <v>Aug 2025</v>
      </c>
    </row>
    <row r="257" customFormat="false" ht="15" hidden="false" customHeight="false" outlineLevel="0" collapsed="false">
      <c r="A257" s="2" t="s">
        <v>189</v>
      </c>
      <c r="B257" s="2" t="s">
        <v>15</v>
      </c>
      <c r="C257" s="2" t="s">
        <v>24</v>
      </c>
      <c r="D257" s="2" t="s">
        <v>25</v>
      </c>
      <c r="E257" s="2" t="n">
        <v>19</v>
      </c>
      <c r="F257" s="3" t="n">
        <v>8.99</v>
      </c>
      <c r="G257" s="2" t="s">
        <v>39</v>
      </c>
      <c r="H257" s="3" t="n">
        <f aca="false">E257*F257</f>
        <v>170.81</v>
      </c>
      <c r="I257" s="2" t="str">
        <f aca="false">TEXT(A257,"MMM YYYY")</f>
        <v>Aug 2025</v>
      </c>
    </row>
    <row r="258" customFormat="false" ht="15" hidden="false" customHeight="false" outlineLevel="0" collapsed="false">
      <c r="A258" s="2" t="s">
        <v>190</v>
      </c>
      <c r="B258" s="2" t="s">
        <v>20</v>
      </c>
      <c r="C258" s="2" t="s">
        <v>29</v>
      </c>
      <c r="D258" s="2" t="s">
        <v>30</v>
      </c>
      <c r="E258" s="2" t="n">
        <v>13</v>
      </c>
      <c r="F258" s="3" t="n">
        <v>59.99</v>
      </c>
      <c r="G258" s="2" t="s">
        <v>18</v>
      </c>
      <c r="H258" s="3" t="n">
        <f aca="false">E258*F258</f>
        <v>779.87</v>
      </c>
      <c r="I258" s="2" t="str">
        <f aca="false">TEXT(A258,"MMM YYYY")</f>
        <v>Aug 2025</v>
      </c>
    </row>
    <row r="259" customFormat="false" ht="15" hidden="false" customHeight="false" outlineLevel="0" collapsed="false">
      <c r="A259" s="2" t="s">
        <v>190</v>
      </c>
      <c r="B259" s="2" t="s">
        <v>23</v>
      </c>
      <c r="C259" s="2" t="s">
        <v>11</v>
      </c>
      <c r="D259" s="2" t="s">
        <v>93</v>
      </c>
      <c r="E259" s="2" t="n">
        <v>18</v>
      </c>
      <c r="F259" s="3" t="n">
        <v>189.99</v>
      </c>
      <c r="G259" s="2" t="s">
        <v>18</v>
      </c>
      <c r="H259" s="3" t="n">
        <f aca="false">E259*F259</f>
        <v>3419.82</v>
      </c>
      <c r="I259" s="2" t="str">
        <f aca="false">TEXT(A259,"MMM YYYY")</f>
        <v>Aug 2025</v>
      </c>
    </row>
    <row r="260" customFormat="false" ht="15" hidden="false" customHeight="false" outlineLevel="0" collapsed="false">
      <c r="A260" s="2" t="s">
        <v>191</v>
      </c>
      <c r="B260" s="2" t="s">
        <v>23</v>
      </c>
      <c r="C260" s="2" t="s">
        <v>29</v>
      </c>
      <c r="D260" s="2" t="s">
        <v>32</v>
      </c>
      <c r="E260" s="2" t="n">
        <v>21</v>
      </c>
      <c r="F260" s="3" t="n">
        <v>34.99</v>
      </c>
      <c r="G260" s="2" t="s">
        <v>31</v>
      </c>
      <c r="H260" s="3" t="n">
        <f aca="false">E260*F260</f>
        <v>734.79</v>
      </c>
      <c r="I260" s="2" t="str">
        <f aca="false">TEXT(A260,"MMM YYYY")</f>
        <v>Sep 2025</v>
      </c>
    </row>
    <row r="261" customFormat="false" ht="15" hidden="false" customHeight="false" outlineLevel="0" collapsed="false">
      <c r="A261" s="2" t="s">
        <v>192</v>
      </c>
      <c r="B261" s="2" t="s">
        <v>20</v>
      </c>
      <c r="C261" s="2" t="s">
        <v>16</v>
      </c>
      <c r="D261" s="2" t="s">
        <v>71</v>
      </c>
      <c r="E261" s="2" t="n">
        <v>3</v>
      </c>
      <c r="F261" s="3" t="n">
        <v>229.99</v>
      </c>
      <c r="G261" s="2" t="s">
        <v>18</v>
      </c>
      <c r="H261" s="3" t="n">
        <f aca="false">E261*F261</f>
        <v>689.97</v>
      </c>
      <c r="I261" s="2" t="str">
        <f aca="false">TEXT(A261,"MMM YYYY")</f>
        <v>Sep 2025</v>
      </c>
    </row>
    <row r="262" customFormat="false" ht="15" hidden="false" customHeight="false" outlineLevel="0" collapsed="false">
      <c r="A262" s="2" t="s">
        <v>193</v>
      </c>
      <c r="B262" s="2" t="s">
        <v>15</v>
      </c>
      <c r="C262" s="2" t="s">
        <v>11</v>
      </c>
      <c r="D262" s="2" t="s">
        <v>38</v>
      </c>
      <c r="E262" s="2" t="n">
        <v>2</v>
      </c>
      <c r="F262" s="3" t="n">
        <v>99.99</v>
      </c>
      <c r="G262" s="2" t="s">
        <v>18</v>
      </c>
      <c r="H262" s="3" t="n">
        <f aca="false">E262*F262</f>
        <v>199.98</v>
      </c>
      <c r="I262" s="2" t="str">
        <f aca="false">TEXT(A262,"MMM YYYY")</f>
        <v>Sep 2025</v>
      </c>
    </row>
    <row r="263" customFormat="false" ht="15" hidden="false" customHeight="false" outlineLevel="0" collapsed="false">
      <c r="A263" s="2" t="s">
        <v>193</v>
      </c>
      <c r="B263" s="2" t="s">
        <v>20</v>
      </c>
      <c r="C263" s="2" t="s">
        <v>24</v>
      </c>
      <c r="D263" s="2" t="s">
        <v>27</v>
      </c>
      <c r="E263" s="2" t="n">
        <v>3</v>
      </c>
      <c r="F263" s="3" t="n">
        <v>4.99</v>
      </c>
      <c r="G263" s="2" t="s">
        <v>13</v>
      </c>
      <c r="H263" s="3" t="n">
        <f aca="false">E263*F263</f>
        <v>14.97</v>
      </c>
      <c r="I263" s="2" t="str">
        <f aca="false">TEXT(A263,"MMM YYYY")</f>
        <v>Sep 2025</v>
      </c>
    </row>
    <row r="264" customFormat="false" ht="15" hidden="false" customHeight="false" outlineLevel="0" collapsed="false">
      <c r="A264" s="2" t="s">
        <v>193</v>
      </c>
      <c r="B264" s="2" t="s">
        <v>15</v>
      </c>
      <c r="C264" s="2" t="s">
        <v>29</v>
      </c>
      <c r="D264" s="2" t="s">
        <v>56</v>
      </c>
      <c r="E264" s="2" t="n">
        <v>7</v>
      </c>
      <c r="F264" s="3" t="n">
        <v>149.99</v>
      </c>
      <c r="G264" s="2" t="s">
        <v>31</v>
      </c>
      <c r="H264" s="3" t="n">
        <f aca="false">E264*F264</f>
        <v>1049.93</v>
      </c>
      <c r="I264" s="2" t="str">
        <f aca="false">TEXT(A264,"MMM YYYY")</f>
        <v>Sep 2025</v>
      </c>
    </row>
    <row r="265" customFormat="false" ht="15" hidden="false" customHeight="false" outlineLevel="0" collapsed="false">
      <c r="A265" s="2" t="s">
        <v>194</v>
      </c>
      <c r="B265" s="2" t="s">
        <v>23</v>
      </c>
      <c r="C265" s="2" t="s">
        <v>16</v>
      </c>
      <c r="D265" s="2" t="s">
        <v>64</v>
      </c>
      <c r="E265" s="2" t="n">
        <v>21</v>
      </c>
      <c r="F265" s="3" t="n">
        <v>79.99</v>
      </c>
      <c r="G265" s="2" t="s">
        <v>13</v>
      </c>
      <c r="H265" s="3" t="n">
        <f aca="false">E265*F265</f>
        <v>1679.79</v>
      </c>
      <c r="I265" s="2" t="str">
        <f aca="false">TEXT(A265,"MMM YYYY")</f>
        <v>Sep 2025</v>
      </c>
    </row>
    <row r="266" customFormat="false" ht="15" hidden="false" customHeight="false" outlineLevel="0" collapsed="false">
      <c r="A266" s="2" t="s">
        <v>195</v>
      </c>
      <c r="B266" s="2" t="s">
        <v>20</v>
      </c>
      <c r="C266" s="2" t="s">
        <v>29</v>
      </c>
      <c r="D266" s="2" t="s">
        <v>32</v>
      </c>
      <c r="E266" s="2" t="n">
        <v>15</v>
      </c>
      <c r="F266" s="3" t="n">
        <v>34.99</v>
      </c>
      <c r="G266" s="2" t="s">
        <v>21</v>
      </c>
      <c r="H266" s="3" t="n">
        <f aca="false">E266*F266</f>
        <v>524.85</v>
      </c>
      <c r="I266" s="2" t="str">
        <f aca="false">TEXT(A266,"MMM YYYY")</f>
        <v>Sep 2025</v>
      </c>
    </row>
    <row r="267" customFormat="false" ht="15" hidden="false" customHeight="false" outlineLevel="0" collapsed="false">
      <c r="A267" s="2" t="s">
        <v>195</v>
      </c>
      <c r="B267" s="2" t="s">
        <v>15</v>
      </c>
      <c r="C267" s="2" t="s">
        <v>24</v>
      </c>
      <c r="D267" s="2" t="s">
        <v>34</v>
      </c>
      <c r="E267" s="2" t="n">
        <v>23</v>
      </c>
      <c r="F267" s="3" t="n">
        <v>6.99</v>
      </c>
      <c r="G267" s="2" t="s">
        <v>35</v>
      </c>
      <c r="H267" s="3" t="n">
        <f aca="false">E267*F267</f>
        <v>160.77</v>
      </c>
      <c r="I267" s="2" t="str">
        <f aca="false">TEXT(A267,"MMM YYYY")</f>
        <v>Sep 2025</v>
      </c>
    </row>
    <row r="268" customFormat="false" ht="15" hidden="false" customHeight="false" outlineLevel="0" collapsed="false">
      <c r="A268" s="2" t="s">
        <v>196</v>
      </c>
      <c r="B268" s="2" t="s">
        <v>23</v>
      </c>
      <c r="C268" s="2" t="s">
        <v>16</v>
      </c>
      <c r="D268" s="2" t="s">
        <v>64</v>
      </c>
      <c r="E268" s="2" t="n">
        <v>5</v>
      </c>
      <c r="F268" s="3" t="n">
        <v>79.99</v>
      </c>
      <c r="G268" s="2" t="s">
        <v>31</v>
      </c>
      <c r="H268" s="3" t="n">
        <f aca="false">E268*F268</f>
        <v>399.95</v>
      </c>
      <c r="I268" s="2" t="str">
        <f aca="false">TEXT(A268,"MMM YYYY")</f>
        <v>Sep 2025</v>
      </c>
    </row>
    <row r="269" customFormat="false" ht="15" hidden="false" customHeight="false" outlineLevel="0" collapsed="false">
      <c r="A269" s="2" t="s">
        <v>197</v>
      </c>
      <c r="B269" s="2" t="s">
        <v>15</v>
      </c>
      <c r="C269" s="2" t="s">
        <v>16</v>
      </c>
      <c r="D269" s="2" t="s">
        <v>71</v>
      </c>
      <c r="E269" s="2" t="n">
        <v>2</v>
      </c>
      <c r="F269" s="3" t="n">
        <v>229.99</v>
      </c>
      <c r="G269" s="2" t="s">
        <v>39</v>
      </c>
      <c r="H269" s="3" t="n">
        <f aca="false">E269*F269</f>
        <v>459.98</v>
      </c>
      <c r="I269" s="2" t="str">
        <f aca="false">TEXT(A269,"MMM YYYY")</f>
        <v>Sep 2025</v>
      </c>
    </row>
    <row r="270" customFormat="false" ht="15" hidden="false" customHeight="false" outlineLevel="0" collapsed="false">
      <c r="A270" s="2" t="s">
        <v>197</v>
      </c>
      <c r="B270" s="2" t="s">
        <v>15</v>
      </c>
      <c r="C270" s="2" t="s">
        <v>29</v>
      </c>
      <c r="D270" s="2" t="s">
        <v>56</v>
      </c>
      <c r="E270" s="2" t="n">
        <v>21</v>
      </c>
      <c r="F270" s="3" t="n">
        <v>149.99</v>
      </c>
      <c r="G270" s="2" t="s">
        <v>35</v>
      </c>
      <c r="H270" s="3" t="n">
        <f aca="false">E270*F270</f>
        <v>3149.79</v>
      </c>
      <c r="I270" s="2" t="str">
        <f aca="false">TEXT(A270,"MMM YYYY")</f>
        <v>Sep 2025</v>
      </c>
    </row>
    <row r="271" customFormat="false" ht="15" hidden="false" customHeight="false" outlineLevel="0" collapsed="false">
      <c r="A271" s="2" t="s">
        <v>198</v>
      </c>
      <c r="B271" s="2" t="s">
        <v>10</v>
      </c>
      <c r="C271" s="2" t="s">
        <v>11</v>
      </c>
      <c r="D271" s="2" t="s">
        <v>38</v>
      </c>
      <c r="E271" s="2" t="n">
        <v>7</v>
      </c>
      <c r="F271" s="3" t="n">
        <v>99.99</v>
      </c>
      <c r="G271" s="2" t="s">
        <v>35</v>
      </c>
      <c r="H271" s="3" t="n">
        <f aca="false">E271*F271</f>
        <v>699.93</v>
      </c>
      <c r="I271" s="2" t="str">
        <f aca="false">TEXT(A271,"MMM YYYY")</f>
        <v>Sep 2025</v>
      </c>
    </row>
    <row r="272" customFormat="false" ht="15" hidden="false" customHeight="false" outlineLevel="0" collapsed="false">
      <c r="A272" s="2" t="s">
        <v>199</v>
      </c>
      <c r="B272" s="2" t="s">
        <v>15</v>
      </c>
      <c r="C272" s="2" t="s">
        <v>11</v>
      </c>
      <c r="D272" s="2" t="s">
        <v>37</v>
      </c>
      <c r="E272" s="2" t="n">
        <v>13</v>
      </c>
      <c r="F272" s="3" t="n">
        <v>349.99</v>
      </c>
      <c r="G272" s="2" t="s">
        <v>31</v>
      </c>
      <c r="H272" s="3" t="n">
        <f aca="false">E272*F272</f>
        <v>4549.87</v>
      </c>
      <c r="I272" s="2" t="str">
        <f aca="false">TEXT(A272,"MMM YYYY")</f>
        <v>Sep 2025</v>
      </c>
    </row>
    <row r="273" customFormat="false" ht="15" hidden="false" customHeight="false" outlineLevel="0" collapsed="false">
      <c r="A273" s="2" t="s">
        <v>200</v>
      </c>
      <c r="B273" s="2" t="s">
        <v>15</v>
      </c>
      <c r="C273" s="2" t="s">
        <v>16</v>
      </c>
      <c r="D273" s="2" t="s">
        <v>42</v>
      </c>
      <c r="E273" s="2" t="n">
        <v>25</v>
      </c>
      <c r="F273" s="3" t="n">
        <v>649.99</v>
      </c>
      <c r="G273" s="2" t="s">
        <v>35</v>
      </c>
      <c r="H273" s="3" t="n">
        <f aca="false">E273*F273</f>
        <v>16249.75</v>
      </c>
      <c r="I273" s="2" t="str">
        <f aca="false">TEXT(A273,"MMM YYYY")</f>
        <v>Sep 2025</v>
      </c>
    </row>
    <row r="274" customFormat="false" ht="15" hidden="false" customHeight="false" outlineLevel="0" collapsed="false">
      <c r="A274" s="2" t="s">
        <v>200</v>
      </c>
      <c r="B274" s="2" t="s">
        <v>10</v>
      </c>
      <c r="C274" s="2" t="s">
        <v>29</v>
      </c>
      <c r="D274" s="2" t="s">
        <v>51</v>
      </c>
      <c r="E274" s="2" t="n">
        <v>3</v>
      </c>
      <c r="F274" s="3" t="n">
        <v>119.99</v>
      </c>
      <c r="G274" s="2" t="s">
        <v>39</v>
      </c>
      <c r="H274" s="3" t="n">
        <f aca="false">E274*F274</f>
        <v>359.97</v>
      </c>
      <c r="I274" s="2" t="str">
        <f aca="false">TEXT(A274,"MMM YYYY")</f>
        <v>Sep 2025</v>
      </c>
    </row>
    <row r="275" customFormat="false" ht="15" hidden="false" customHeight="false" outlineLevel="0" collapsed="false">
      <c r="A275" s="2" t="s">
        <v>201</v>
      </c>
      <c r="B275" s="2" t="s">
        <v>10</v>
      </c>
      <c r="C275" s="2" t="s">
        <v>11</v>
      </c>
      <c r="D275" s="2" t="s">
        <v>38</v>
      </c>
      <c r="E275" s="2" t="n">
        <v>3</v>
      </c>
      <c r="F275" s="3" t="n">
        <v>99.99</v>
      </c>
      <c r="G275" s="2" t="s">
        <v>35</v>
      </c>
      <c r="H275" s="3" t="n">
        <f aca="false">E275*F275</f>
        <v>299.97</v>
      </c>
      <c r="I275" s="2" t="str">
        <f aca="false">TEXT(A275,"MMM YYYY")</f>
        <v>Sep 2025</v>
      </c>
    </row>
    <row r="276" customFormat="false" ht="15" hidden="false" customHeight="false" outlineLevel="0" collapsed="false">
      <c r="A276" s="2" t="s">
        <v>202</v>
      </c>
      <c r="B276" s="2" t="s">
        <v>15</v>
      </c>
      <c r="C276" s="2" t="s">
        <v>11</v>
      </c>
      <c r="D276" s="2" t="s">
        <v>37</v>
      </c>
      <c r="E276" s="2" t="n">
        <v>19</v>
      </c>
      <c r="F276" s="3" t="n">
        <v>349.99</v>
      </c>
      <c r="G276" s="2" t="s">
        <v>35</v>
      </c>
      <c r="H276" s="3" t="n">
        <f aca="false">E276*F276</f>
        <v>6649.81</v>
      </c>
      <c r="I276" s="2" t="str">
        <f aca="false">TEXT(A276,"MMM YYYY")</f>
        <v>Sep 2025</v>
      </c>
    </row>
    <row r="277" customFormat="false" ht="15" hidden="false" customHeight="false" outlineLevel="0" collapsed="false">
      <c r="A277" s="2" t="s">
        <v>203</v>
      </c>
      <c r="B277" s="2" t="s">
        <v>23</v>
      </c>
      <c r="C277" s="2" t="s">
        <v>24</v>
      </c>
      <c r="D277" s="2" t="s">
        <v>25</v>
      </c>
      <c r="E277" s="2" t="n">
        <v>5</v>
      </c>
      <c r="F277" s="3" t="n">
        <v>8.99</v>
      </c>
      <c r="G277" s="2" t="s">
        <v>35</v>
      </c>
      <c r="H277" s="3" t="n">
        <f aca="false">E277*F277</f>
        <v>44.95</v>
      </c>
      <c r="I277" s="2" t="str">
        <f aca="false">TEXT(A277,"MMM YYYY")</f>
        <v>Sep 2025</v>
      </c>
    </row>
    <row r="278" customFormat="false" ht="15" hidden="false" customHeight="false" outlineLevel="0" collapsed="false">
      <c r="A278" s="2" t="s">
        <v>203</v>
      </c>
      <c r="B278" s="2" t="s">
        <v>10</v>
      </c>
      <c r="C278" s="2" t="s">
        <v>11</v>
      </c>
      <c r="D278" s="2" t="s">
        <v>12</v>
      </c>
      <c r="E278" s="2" t="n">
        <v>3</v>
      </c>
      <c r="F278" s="3" t="n">
        <v>129.99</v>
      </c>
      <c r="G278" s="2" t="s">
        <v>18</v>
      </c>
      <c r="H278" s="3" t="n">
        <f aca="false">E278*F278</f>
        <v>389.97</v>
      </c>
      <c r="I278" s="2" t="str">
        <f aca="false">TEXT(A278,"MMM YYYY")</f>
        <v>Sep 2025</v>
      </c>
    </row>
    <row r="279" customFormat="false" ht="15" hidden="false" customHeight="false" outlineLevel="0" collapsed="false">
      <c r="A279" s="2" t="s">
        <v>203</v>
      </c>
      <c r="B279" s="2" t="s">
        <v>23</v>
      </c>
      <c r="C279" s="2" t="s">
        <v>29</v>
      </c>
      <c r="D279" s="2" t="s">
        <v>32</v>
      </c>
      <c r="E279" s="2" t="n">
        <v>2</v>
      </c>
      <c r="F279" s="3" t="n">
        <v>34.99</v>
      </c>
      <c r="G279" s="2" t="s">
        <v>13</v>
      </c>
      <c r="H279" s="3" t="n">
        <f aca="false">E279*F279</f>
        <v>69.98</v>
      </c>
      <c r="I279" s="2" t="str">
        <f aca="false">TEXT(A279,"MMM YYYY")</f>
        <v>Sep 2025</v>
      </c>
    </row>
    <row r="280" customFormat="false" ht="15" hidden="false" customHeight="false" outlineLevel="0" collapsed="false">
      <c r="A280" s="2" t="s">
        <v>204</v>
      </c>
      <c r="B280" s="2" t="s">
        <v>20</v>
      </c>
      <c r="C280" s="2" t="s">
        <v>24</v>
      </c>
      <c r="D280" s="2" t="s">
        <v>27</v>
      </c>
      <c r="E280" s="2" t="n">
        <v>7</v>
      </c>
      <c r="F280" s="3" t="n">
        <v>4.99</v>
      </c>
      <c r="G280" s="2" t="s">
        <v>31</v>
      </c>
      <c r="H280" s="3" t="n">
        <f aca="false">E280*F280</f>
        <v>34.93</v>
      </c>
      <c r="I280" s="2" t="str">
        <f aca="false">TEXT(A280,"MMM YYYY")</f>
        <v>Sep 2025</v>
      </c>
    </row>
    <row r="281" customFormat="false" ht="15" hidden="false" customHeight="false" outlineLevel="0" collapsed="false">
      <c r="A281" s="2" t="s">
        <v>205</v>
      </c>
      <c r="B281" s="2" t="s">
        <v>20</v>
      </c>
      <c r="C281" s="2" t="s">
        <v>16</v>
      </c>
      <c r="D281" s="2" t="s">
        <v>64</v>
      </c>
      <c r="E281" s="2" t="n">
        <v>24</v>
      </c>
      <c r="F281" s="3" t="n">
        <v>79.99</v>
      </c>
      <c r="G281" s="2" t="s">
        <v>39</v>
      </c>
      <c r="H281" s="3" t="n">
        <f aca="false">E281*F281</f>
        <v>1919.76</v>
      </c>
      <c r="I281" s="2" t="str">
        <f aca="false">TEXT(A281,"MMM YYYY")</f>
        <v>Sep 2025</v>
      </c>
    </row>
    <row r="282" customFormat="false" ht="15" hidden="false" customHeight="false" outlineLevel="0" collapsed="false">
      <c r="A282" s="2" t="s">
        <v>206</v>
      </c>
      <c r="B282" s="2" t="s">
        <v>10</v>
      </c>
      <c r="C282" s="2" t="s">
        <v>29</v>
      </c>
      <c r="D282" s="2" t="s">
        <v>32</v>
      </c>
      <c r="E282" s="2" t="n">
        <v>14</v>
      </c>
      <c r="F282" s="3" t="n">
        <v>34.99</v>
      </c>
      <c r="G282" s="2" t="s">
        <v>13</v>
      </c>
      <c r="H282" s="3" t="n">
        <f aca="false">E282*F282</f>
        <v>489.86</v>
      </c>
      <c r="I282" s="2" t="str">
        <f aca="false">TEXT(A282,"MMM YYYY")</f>
        <v>Sep 2025</v>
      </c>
    </row>
    <row r="283" customFormat="false" ht="15" hidden="false" customHeight="false" outlineLevel="0" collapsed="false">
      <c r="A283" s="2" t="s">
        <v>207</v>
      </c>
      <c r="B283" s="2" t="s">
        <v>15</v>
      </c>
      <c r="C283" s="2" t="s">
        <v>11</v>
      </c>
      <c r="D283" s="2" t="s">
        <v>37</v>
      </c>
      <c r="E283" s="2" t="n">
        <v>2</v>
      </c>
      <c r="F283" s="3" t="n">
        <v>349.99</v>
      </c>
      <c r="G283" s="2" t="s">
        <v>31</v>
      </c>
      <c r="H283" s="3" t="n">
        <f aca="false">E283*F283</f>
        <v>699.98</v>
      </c>
      <c r="I283" s="2" t="str">
        <f aca="false">TEXT(A283,"MMM YYYY")</f>
        <v>Sep 2025</v>
      </c>
    </row>
    <row r="284" customFormat="false" ht="15" hidden="false" customHeight="false" outlineLevel="0" collapsed="false">
      <c r="A284" s="2" t="s">
        <v>208</v>
      </c>
      <c r="B284" s="2" t="s">
        <v>10</v>
      </c>
      <c r="C284" s="2" t="s">
        <v>16</v>
      </c>
      <c r="D284" s="2" t="s">
        <v>71</v>
      </c>
      <c r="E284" s="2" t="n">
        <v>4</v>
      </c>
      <c r="F284" s="3" t="n">
        <v>229.99</v>
      </c>
      <c r="G284" s="2" t="s">
        <v>21</v>
      </c>
      <c r="H284" s="3" t="n">
        <f aca="false">E284*F284</f>
        <v>919.96</v>
      </c>
      <c r="I284" s="2" t="str">
        <f aca="false">TEXT(A284,"MMM YYYY")</f>
        <v>Sep 2025</v>
      </c>
    </row>
    <row r="285" customFormat="false" ht="15" hidden="false" customHeight="false" outlineLevel="0" collapsed="false">
      <c r="A285" s="2" t="s">
        <v>209</v>
      </c>
      <c r="B285" s="2" t="s">
        <v>10</v>
      </c>
      <c r="C285" s="2" t="s">
        <v>11</v>
      </c>
      <c r="D285" s="2" t="s">
        <v>12</v>
      </c>
      <c r="E285" s="2" t="n">
        <v>16</v>
      </c>
      <c r="F285" s="3" t="n">
        <v>129.99</v>
      </c>
      <c r="G285" s="2" t="s">
        <v>35</v>
      </c>
      <c r="H285" s="3" t="n">
        <f aca="false">E285*F285</f>
        <v>2079.84</v>
      </c>
      <c r="I285" s="2" t="str">
        <f aca="false">TEXT(A285,"MMM YYYY")</f>
        <v>Sep 2025</v>
      </c>
    </row>
    <row r="286" customFormat="false" ht="15" hidden="false" customHeight="false" outlineLevel="0" collapsed="false">
      <c r="A286" s="2" t="s">
        <v>210</v>
      </c>
      <c r="B286" s="2" t="s">
        <v>20</v>
      </c>
      <c r="C286" s="2" t="s">
        <v>11</v>
      </c>
      <c r="D286" s="2" t="s">
        <v>38</v>
      </c>
      <c r="E286" s="2" t="n">
        <v>13</v>
      </c>
      <c r="F286" s="3" t="n">
        <v>99.99</v>
      </c>
      <c r="G286" s="2" t="s">
        <v>35</v>
      </c>
      <c r="H286" s="3" t="n">
        <f aca="false">E286*F286</f>
        <v>1299.87</v>
      </c>
      <c r="I286" s="2" t="str">
        <f aca="false">TEXT(A286,"MMM YYYY")</f>
        <v>Oct 2025</v>
      </c>
    </row>
    <row r="287" customFormat="false" ht="15" hidden="false" customHeight="false" outlineLevel="0" collapsed="false">
      <c r="A287" s="2" t="s">
        <v>210</v>
      </c>
      <c r="B287" s="2" t="s">
        <v>23</v>
      </c>
      <c r="C287" s="2" t="s">
        <v>29</v>
      </c>
      <c r="D287" s="2" t="s">
        <v>51</v>
      </c>
      <c r="E287" s="2" t="n">
        <v>3</v>
      </c>
      <c r="F287" s="3" t="n">
        <v>119.99</v>
      </c>
      <c r="G287" s="2" t="s">
        <v>13</v>
      </c>
      <c r="H287" s="3" t="n">
        <f aca="false">E287*F287</f>
        <v>359.97</v>
      </c>
      <c r="I287" s="2" t="str">
        <f aca="false">TEXT(A287,"MMM YYYY")</f>
        <v>Oct 2025</v>
      </c>
    </row>
    <row r="288" customFormat="false" ht="15" hidden="false" customHeight="false" outlineLevel="0" collapsed="false">
      <c r="A288" s="2" t="s">
        <v>211</v>
      </c>
      <c r="B288" s="2" t="s">
        <v>20</v>
      </c>
      <c r="C288" s="2" t="s">
        <v>11</v>
      </c>
      <c r="D288" s="2" t="s">
        <v>37</v>
      </c>
      <c r="E288" s="2" t="n">
        <v>24</v>
      </c>
      <c r="F288" s="3" t="n">
        <v>349.99</v>
      </c>
      <c r="G288" s="2" t="s">
        <v>39</v>
      </c>
      <c r="H288" s="3" t="n">
        <f aca="false">E288*F288</f>
        <v>8399.76</v>
      </c>
      <c r="I288" s="2" t="str">
        <f aca="false">TEXT(A288,"MMM YYYY")</f>
        <v>Oct 2025</v>
      </c>
    </row>
    <row r="289" customFormat="false" ht="15" hidden="false" customHeight="false" outlineLevel="0" collapsed="false">
      <c r="A289" s="2" t="s">
        <v>212</v>
      </c>
      <c r="B289" s="2" t="s">
        <v>10</v>
      </c>
      <c r="C289" s="2" t="s">
        <v>29</v>
      </c>
      <c r="D289" s="2" t="s">
        <v>32</v>
      </c>
      <c r="E289" s="2" t="n">
        <v>12</v>
      </c>
      <c r="F289" s="3" t="n">
        <v>34.99</v>
      </c>
      <c r="G289" s="2" t="s">
        <v>18</v>
      </c>
      <c r="H289" s="3" t="n">
        <f aca="false">E289*F289</f>
        <v>419.88</v>
      </c>
      <c r="I289" s="2" t="str">
        <f aca="false">TEXT(A289,"MMM YYYY")</f>
        <v>Oct 2025</v>
      </c>
    </row>
    <row r="290" customFormat="false" ht="15" hidden="false" customHeight="false" outlineLevel="0" collapsed="false">
      <c r="A290" s="2" t="s">
        <v>212</v>
      </c>
      <c r="B290" s="2" t="s">
        <v>20</v>
      </c>
      <c r="C290" s="2" t="s">
        <v>24</v>
      </c>
      <c r="D290" s="2" t="s">
        <v>27</v>
      </c>
      <c r="E290" s="2" t="n">
        <v>3</v>
      </c>
      <c r="F290" s="3" t="n">
        <v>4.99</v>
      </c>
      <c r="G290" s="2" t="s">
        <v>13</v>
      </c>
      <c r="H290" s="3" t="n">
        <f aca="false">E290*F290</f>
        <v>14.97</v>
      </c>
      <c r="I290" s="2" t="str">
        <f aca="false">TEXT(A290,"MMM YYYY")</f>
        <v>Oct 2025</v>
      </c>
    </row>
    <row r="291" customFormat="false" ht="15" hidden="false" customHeight="false" outlineLevel="0" collapsed="false">
      <c r="A291" s="2" t="s">
        <v>212</v>
      </c>
      <c r="B291" s="2" t="s">
        <v>15</v>
      </c>
      <c r="C291" s="2" t="s">
        <v>11</v>
      </c>
      <c r="D291" s="2" t="s">
        <v>37</v>
      </c>
      <c r="E291" s="2" t="n">
        <v>1</v>
      </c>
      <c r="F291" s="3" t="n">
        <v>349.99</v>
      </c>
      <c r="G291" s="2" t="s">
        <v>21</v>
      </c>
      <c r="H291" s="3" t="n">
        <f aca="false">E291*F291</f>
        <v>349.99</v>
      </c>
      <c r="I291" s="2" t="str">
        <f aca="false">TEXT(A291,"MMM YYYY")</f>
        <v>Oct 2025</v>
      </c>
    </row>
    <row r="292" customFormat="false" ht="15" hidden="false" customHeight="false" outlineLevel="0" collapsed="false">
      <c r="A292" s="2" t="s">
        <v>213</v>
      </c>
      <c r="B292" s="2" t="s">
        <v>23</v>
      </c>
      <c r="C292" s="2" t="s">
        <v>16</v>
      </c>
      <c r="D292" s="2" t="s">
        <v>64</v>
      </c>
      <c r="E292" s="2" t="n">
        <v>6</v>
      </c>
      <c r="F292" s="3" t="n">
        <v>79.99</v>
      </c>
      <c r="G292" s="2" t="s">
        <v>39</v>
      </c>
      <c r="H292" s="3" t="n">
        <f aca="false">E292*F292</f>
        <v>479.94</v>
      </c>
      <c r="I292" s="2" t="str">
        <f aca="false">TEXT(A292,"MMM YYYY")</f>
        <v>Oct 2025</v>
      </c>
    </row>
    <row r="293" customFormat="false" ht="15" hidden="false" customHeight="false" outlineLevel="0" collapsed="false">
      <c r="A293" s="2" t="s">
        <v>214</v>
      </c>
      <c r="B293" s="2" t="s">
        <v>15</v>
      </c>
      <c r="C293" s="2" t="s">
        <v>29</v>
      </c>
      <c r="D293" s="2" t="s">
        <v>51</v>
      </c>
      <c r="E293" s="2" t="n">
        <v>7</v>
      </c>
      <c r="F293" s="3" t="n">
        <v>119.99</v>
      </c>
      <c r="G293" s="2" t="s">
        <v>39</v>
      </c>
      <c r="H293" s="3" t="n">
        <f aca="false">E293*F293</f>
        <v>839.93</v>
      </c>
      <c r="I293" s="2" t="str">
        <f aca="false">TEXT(A293,"MMM YYYY")</f>
        <v>Oct 2025</v>
      </c>
    </row>
    <row r="294" customFormat="false" ht="15" hidden="false" customHeight="false" outlineLevel="0" collapsed="false">
      <c r="A294" s="2" t="s">
        <v>215</v>
      </c>
      <c r="B294" s="2" t="s">
        <v>15</v>
      </c>
      <c r="C294" s="2" t="s">
        <v>29</v>
      </c>
      <c r="D294" s="2" t="s">
        <v>56</v>
      </c>
      <c r="E294" s="2" t="n">
        <v>25</v>
      </c>
      <c r="F294" s="3" t="n">
        <v>149.99</v>
      </c>
      <c r="G294" s="2" t="s">
        <v>18</v>
      </c>
      <c r="H294" s="3" t="n">
        <f aca="false">E294*F294</f>
        <v>3749.75</v>
      </c>
      <c r="I294" s="2" t="str">
        <f aca="false">TEXT(A294,"MMM YYYY")</f>
        <v>Oct 2025</v>
      </c>
    </row>
    <row r="295" customFormat="false" ht="15" hidden="false" customHeight="false" outlineLevel="0" collapsed="false">
      <c r="A295" s="2" t="s">
        <v>215</v>
      </c>
      <c r="B295" s="2" t="s">
        <v>15</v>
      </c>
      <c r="C295" s="2" t="s">
        <v>11</v>
      </c>
      <c r="D295" s="2" t="s">
        <v>38</v>
      </c>
      <c r="E295" s="2" t="n">
        <v>9</v>
      </c>
      <c r="F295" s="3" t="n">
        <v>99.99</v>
      </c>
      <c r="G295" s="2" t="s">
        <v>18</v>
      </c>
      <c r="H295" s="3" t="n">
        <f aca="false">E295*F295</f>
        <v>899.91</v>
      </c>
      <c r="I295" s="2" t="str">
        <f aca="false">TEXT(A295,"MMM YYYY")</f>
        <v>Oct 2025</v>
      </c>
    </row>
    <row r="296" customFormat="false" ht="15" hidden="false" customHeight="false" outlineLevel="0" collapsed="false">
      <c r="A296" s="2" t="s">
        <v>216</v>
      </c>
      <c r="B296" s="2" t="s">
        <v>20</v>
      </c>
      <c r="C296" s="2" t="s">
        <v>11</v>
      </c>
      <c r="D296" s="2" t="s">
        <v>37</v>
      </c>
      <c r="E296" s="2" t="n">
        <v>11</v>
      </c>
      <c r="F296" s="3" t="n">
        <v>349.99</v>
      </c>
      <c r="G296" s="2" t="s">
        <v>31</v>
      </c>
      <c r="H296" s="3" t="n">
        <f aca="false">E296*F296</f>
        <v>3849.89</v>
      </c>
      <c r="I296" s="2" t="str">
        <f aca="false">TEXT(A296,"MMM YYYY")</f>
        <v>Oct 2025</v>
      </c>
    </row>
    <row r="297" customFormat="false" ht="15" hidden="false" customHeight="false" outlineLevel="0" collapsed="false">
      <c r="A297" s="2" t="s">
        <v>217</v>
      </c>
      <c r="B297" s="2" t="s">
        <v>10</v>
      </c>
      <c r="C297" s="2" t="s">
        <v>24</v>
      </c>
      <c r="D297" s="2" t="s">
        <v>27</v>
      </c>
      <c r="E297" s="2" t="n">
        <v>9</v>
      </c>
      <c r="F297" s="3" t="n">
        <v>4.99</v>
      </c>
      <c r="G297" s="2" t="s">
        <v>35</v>
      </c>
      <c r="H297" s="3" t="n">
        <f aca="false">E297*F297</f>
        <v>44.91</v>
      </c>
      <c r="I297" s="2" t="str">
        <f aca="false">TEXT(A297,"MMM YYYY")</f>
        <v>Oct 2025</v>
      </c>
    </row>
    <row r="298" customFormat="false" ht="15" hidden="false" customHeight="false" outlineLevel="0" collapsed="false">
      <c r="A298" s="2" t="s">
        <v>217</v>
      </c>
      <c r="B298" s="2" t="s">
        <v>10</v>
      </c>
      <c r="C298" s="2" t="s">
        <v>24</v>
      </c>
      <c r="D298" s="2" t="s">
        <v>25</v>
      </c>
      <c r="E298" s="2" t="n">
        <v>23</v>
      </c>
      <c r="F298" s="3" t="n">
        <v>8.99</v>
      </c>
      <c r="G298" s="2" t="s">
        <v>13</v>
      </c>
      <c r="H298" s="3" t="n">
        <f aca="false">E298*F298</f>
        <v>206.77</v>
      </c>
      <c r="I298" s="2" t="str">
        <f aca="false">TEXT(A298,"MMM YYYY")</f>
        <v>Oct 2025</v>
      </c>
    </row>
    <row r="299" customFormat="false" ht="15" hidden="false" customHeight="false" outlineLevel="0" collapsed="false">
      <c r="A299" s="2" t="s">
        <v>218</v>
      </c>
      <c r="B299" s="2" t="s">
        <v>20</v>
      </c>
      <c r="C299" s="2" t="s">
        <v>29</v>
      </c>
      <c r="D299" s="2" t="s">
        <v>32</v>
      </c>
      <c r="E299" s="2" t="n">
        <v>8</v>
      </c>
      <c r="F299" s="3" t="n">
        <v>34.99</v>
      </c>
      <c r="G299" s="2" t="s">
        <v>39</v>
      </c>
      <c r="H299" s="3" t="n">
        <f aca="false">E299*F299</f>
        <v>279.92</v>
      </c>
      <c r="I299" s="2" t="str">
        <f aca="false">TEXT(A299,"MMM YYYY")</f>
        <v>Oct 2025</v>
      </c>
    </row>
    <row r="300" customFormat="false" ht="15" hidden="false" customHeight="false" outlineLevel="0" collapsed="false">
      <c r="A300" s="2" t="s">
        <v>219</v>
      </c>
      <c r="B300" s="2" t="s">
        <v>20</v>
      </c>
      <c r="C300" s="2" t="s">
        <v>11</v>
      </c>
      <c r="D300" s="2" t="s">
        <v>38</v>
      </c>
      <c r="E300" s="2" t="n">
        <v>22</v>
      </c>
      <c r="F300" s="3" t="n">
        <v>99.99</v>
      </c>
      <c r="G300" s="2" t="s">
        <v>39</v>
      </c>
      <c r="H300" s="3" t="n">
        <f aca="false">E300*F300</f>
        <v>2199.78</v>
      </c>
      <c r="I300" s="2" t="str">
        <f aca="false">TEXT(A300,"MMM YYYY")</f>
        <v>Oct 2025</v>
      </c>
    </row>
    <row r="301" customFormat="false" ht="15" hidden="false" customHeight="false" outlineLevel="0" collapsed="false">
      <c r="A301" s="2" t="s">
        <v>220</v>
      </c>
      <c r="B301" s="2" t="s">
        <v>10</v>
      </c>
      <c r="C301" s="2" t="s">
        <v>24</v>
      </c>
      <c r="D301" s="2" t="s">
        <v>34</v>
      </c>
      <c r="E301" s="2" t="n">
        <v>19</v>
      </c>
      <c r="F301" s="3" t="n">
        <v>6.99</v>
      </c>
      <c r="G301" s="2" t="s">
        <v>13</v>
      </c>
      <c r="H301" s="3" t="n">
        <f aca="false">E301*F301</f>
        <v>132.81</v>
      </c>
      <c r="I301" s="2" t="str">
        <f aca="false">TEXT(A301,"MMM YYYY")</f>
        <v>Oct 2025</v>
      </c>
    </row>
    <row r="302" customFormat="false" ht="15" hidden="false" customHeight="false" outlineLevel="0" collapsed="false">
      <c r="A302" s="2" t="s">
        <v>221</v>
      </c>
      <c r="B302" s="2" t="s">
        <v>10</v>
      </c>
      <c r="C302" s="2" t="s">
        <v>29</v>
      </c>
      <c r="D302" s="2" t="s">
        <v>32</v>
      </c>
      <c r="E302" s="2" t="n">
        <v>11</v>
      </c>
      <c r="F302" s="3" t="n">
        <v>34.99</v>
      </c>
      <c r="G302" s="2" t="s">
        <v>18</v>
      </c>
      <c r="H302" s="3" t="n">
        <f aca="false">E302*F302</f>
        <v>384.89</v>
      </c>
      <c r="I302" s="2" t="str">
        <f aca="false">TEXT(A302,"MMM YYYY")</f>
        <v>Oct 2025</v>
      </c>
    </row>
    <row r="303" customFormat="false" ht="15" hidden="false" customHeight="false" outlineLevel="0" collapsed="false">
      <c r="A303" s="2" t="s">
        <v>222</v>
      </c>
      <c r="B303" s="2" t="s">
        <v>10</v>
      </c>
      <c r="C303" s="2" t="s">
        <v>24</v>
      </c>
      <c r="D303" s="2" t="s">
        <v>25</v>
      </c>
      <c r="E303" s="2" t="n">
        <v>22</v>
      </c>
      <c r="F303" s="3" t="n">
        <v>8.99</v>
      </c>
      <c r="G303" s="2" t="s">
        <v>13</v>
      </c>
      <c r="H303" s="3" t="n">
        <f aca="false">E303*F303</f>
        <v>197.78</v>
      </c>
      <c r="I303" s="2" t="str">
        <f aca="false">TEXT(A303,"MMM YYYY")</f>
        <v>Oct 2025</v>
      </c>
    </row>
    <row r="304" customFormat="false" ht="15" hidden="false" customHeight="false" outlineLevel="0" collapsed="false">
      <c r="A304" s="2" t="s">
        <v>222</v>
      </c>
      <c r="B304" s="2" t="s">
        <v>20</v>
      </c>
      <c r="C304" s="2" t="s">
        <v>11</v>
      </c>
      <c r="D304" s="2" t="s">
        <v>37</v>
      </c>
      <c r="E304" s="2" t="n">
        <v>3</v>
      </c>
      <c r="F304" s="3" t="n">
        <v>349.99</v>
      </c>
      <c r="G304" s="2" t="s">
        <v>31</v>
      </c>
      <c r="H304" s="3" t="n">
        <f aca="false">E304*F304</f>
        <v>1049.97</v>
      </c>
      <c r="I304" s="2" t="str">
        <f aca="false">TEXT(A304,"MMM YYYY")</f>
        <v>Oct 2025</v>
      </c>
    </row>
    <row r="305" customFormat="false" ht="15" hidden="false" customHeight="false" outlineLevel="0" collapsed="false">
      <c r="A305" s="2" t="s">
        <v>222</v>
      </c>
      <c r="B305" s="2" t="s">
        <v>20</v>
      </c>
      <c r="C305" s="2" t="s">
        <v>16</v>
      </c>
      <c r="D305" s="2" t="s">
        <v>71</v>
      </c>
      <c r="E305" s="2" t="n">
        <v>7</v>
      </c>
      <c r="F305" s="3" t="n">
        <v>229.99</v>
      </c>
      <c r="G305" s="2" t="s">
        <v>31</v>
      </c>
      <c r="H305" s="3" t="n">
        <f aca="false">E305*F305</f>
        <v>1609.93</v>
      </c>
      <c r="I305" s="2" t="str">
        <f aca="false">TEXT(A305,"MMM YYYY")</f>
        <v>Oct 2025</v>
      </c>
    </row>
    <row r="306" customFormat="false" ht="15" hidden="false" customHeight="false" outlineLevel="0" collapsed="false">
      <c r="A306" s="2" t="s">
        <v>223</v>
      </c>
      <c r="B306" s="2" t="s">
        <v>23</v>
      </c>
      <c r="C306" s="2" t="s">
        <v>16</v>
      </c>
      <c r="D306" s="2" t="s">
        <v>64</v>
      </c>
      <c r="E306" s="2" t="n">
        <v>6</v>
      </c>
      <c r="F306" s="3" t="n">
        <v>79.99</v>
      </c>
      <c r="G306" s="2" t="s">
        <v>31</v>
      </c>
      <c r="H306" s="3" t="n">
        <f aca="false">E306*F306</f>
        <v>479.94</v>
      </c>
      <c r="I306" s="2" t="str">
        <f aca="false">TEXT(A306,"MMM YYYY")</f>
        <v>Oct 2025</v>
      </c>
    </row>
    <row r="307" customFormat="false" ht="15" hidden="false" customHeight="false" outlineLevel="0" collapsed="false">
      <c r="A307" s="2" t="s">
        <v>224</v>
      </c>
      <c r="B307" s="2" t="s">
        <v>10</v>
      </c>
      <c r="C307" s="2" t="s">
        <v>24</v>
      </c>
      <c r="D307" s="2" t="s">
        <v>40</v>
      </c>
      <c r="E307" s="2" t="n">
        <v>1</v>
      </c>
      <c r="F307" s="3" t="n">
        <v>12.99</v>
      </c>
      <c r="G307" s="2" t="s">
        <v>13</v>
      </c>
      <c r="H307" s="3" t="n">
        <f aca="false">E307*F307</f>
        <v>12.99</v>
      </c>
      <c r="I307" s="2" t="str">
        <f aca="false">TEXT(A307,"MMM YYYY")</f>
        <v>Oct 2025</v>
      </c>
    </row>
    <row r="308" customFormat="false" ht="15" hidden="false" customHeight="false" outlineLevel="0" collapsed="false">
      <c r="A308" s="2" t="s">
        <v>225</v>
      </c>
      <c r="B308" s="2" t="s">
        <v>20</v>
      </c>
      <c r="C308" s="2" t="s">
        <v>24</v>
      </c>
      <c r="D308" s="2" t="s">
        <v>27</v>
      </c>
      <c r="E308" s="2" t="n">
        <v>11</v>
      </c>
      <c r="F308" s="3" t="n">
        <v>4.99</v>
      </c>
      <c r="G308" s="2" t="s">
        <v>13</v>
      </c>
      <c r="H308" s="3" t="n">
        <f aca="false">E308*F308</f>
        <v>54.89</v>
      </c>
      <c r="I308" s="2" t="str">
        <f aca="false">TEXT(A308,"MMM YYYY")</f>
        <v>Oct 2025</v>
      </c>
    </row>
    <row r="309" customFormat="false" ht="15" hidden="false" customHeight="false" outlineLevel="0" collapsed="false">
      <c r="A309" s="2" t="s">
        <v>225</v>
      </c>
      <c r="B309" s="2" t="s">
        <v>10</v>
      </c>
      <c r="C309" s="2" t="s">
        <v>29</v>
      </c>
      <c r="D309" s="2" t="s">
        <v>30</v>
      </c>
      <c r="E309" s="2" t="n">
        <v>20</v>
      </c>
      <c r="F309" s="3" t="n">
        <v>59.99</v>
      </c>
      <c r="G309" s="2" t="s">
        <v>21</v>
      </c>
      <c r="H309" s="3" t="n">
        <f aca="false">E309*F309</f>
        <v>1199.8</v>
      </c>
      <c r="I309" s="2" t="str">
        <f aca="false">TEXT(A309,"MMM YYYY")</f>
        <v>Oct 2025</v>
      </c>
    </row>
    <row r="310" customFormat="false" ht="15" hidden="false" customHeight="false" outlineLevel="0" collapsed="false">
      <c r="A310" s="2" t="s">
        <v>225</v>
      </c>
      <c r="B310" s="2" t="s">
        <v>23</v>
      </c>
      <c r="C310" s="2" t="s">
        <v>24</v>
      </c>
      <c r="D310" s="2" t="s">
        <v>40</v>
      </c>
      <c r="E310" s="2" t="n">
        <v>23</v>
      </c>
      <c r="F310" s="3" t="n">
        <v>12.99</v>
      </c>
      <c r="G310" s="2" t="s">
        <v>18</v>
      </c>
      <c r="H310" s="3" t="n">
        <f aca="false">E310*F310</f>
        <v>298.77</v>
      </c>
      <c r="I310" s="2" t="str">
        <f aca="false">TEXT(A310,"MMM YYYY")</f>
        <v>Oct 2025</v>
      </c>
    </row>
    <row r="311" customFormat="false" ht="15" hidden="false" customHeight="false" outlineLevel="0" collapsed="false">
      <c r="A311" s="2" t="s">
        <v>226</v>
      </c>
      <c r="B311" s="2" t="s">
        <v>23</v>
      </c>
      <c r="C311" s="2" t="s">
        <v>24</v>
      </c>
      <c r="D311" s="2" t="s">
        <v>34</v>
      </c>
      <c r="E311" s="2" t="n">
        <v>25</v>
      </c>
      <c r="F311" s="3" t="n">
        <v>6.99</v>
      </c>
      <c r="G311" s="2" t="s">
        <v>18</v>
      </c>
      <c r="H311" s="3" t="n">
        <f aca="false">E311*F311</f>
        <v>174.75</v>
      </c>
      <c r="I311" s="2" t="str">
        <f aca="false">TEXT(A311,"MMM YYYY")</f>
        <v>Oct 2025</v>
      </c>
    </row>
    <row r="312" customFormat="false" ht="15" hidden="false" customHeight="false" outlineLevel="0" collapsed="false">
      <c r="A312" s="2" t="s">
        <v>226</v>
      </c>
      <c r="B312" s="2" t="s">
        <v>15</v>
      </c>
      <c r="C312" s="2" t="s">
        <v>29</v>
      </c>
      <c r="D312" s="2" t="s">
        <v>32</v>
      </c>
      <c r="E312" s="2" t="n">
        <v>10</v>
      </c>
      <c r="F312" s="3" t="n">
        <v>34.99</v>
      </c>
      <c r="G312" s="2" t="s">
        <v>21</v>
      </c>
      <c r="H312" s="3" t="n">
        <f aca="false">E312*F312</f>
        <v>349.9</v>
      </c>
      <c r="I312" s="2" t="str">
        <f aca="false">TEXT(A312,"MMM YYYY")</f>
        <v>Oct 2025</v>
      </c>
    </row>
    <row r="313" customFormat="false" ht="15" hidden="false" customHeight="false" outlineLevel="0" collapsed="false">
      <c r="A313" s="2" t="s">
        <v>227</v>
      </c>
      <c r="B313" s="2" t="s">
        <v>20</v>
      </c>
      <c r="C313" s="2" t="s">
        <v>11</v>
      </c>
      <c r="D313" s="2" t="s">
        <v>38</v>
      </c>
      <c r="E313" s="2" t="n">
        <v>8</v>
      </c>
      <c r="F313" s="3" t="n">
        <v>99.99</v>
      </c>
      <c r="G313" s="2" t="s">
        <v>21</v>
      </c>
      <c r="H313" s="3" t="n">
        <f aca="false">E313*F313</f>
        <v>799.92</v>
      </c>
      <c r="I313" s="2" t="str">
        <f aca="false">TEXT(A313,"MMM YYYY")</f>
        <v>Oct 2025</v>
      </c>
    </row>
    <row r="314" customFormat="false" ht="15" hidden="false" customHeight="false" outlineLevel="0" collapsed="false">
      <c r="A314" s="2" t="s">
        <v>227</v>
      </c>
      <c r="B314" s="2" t="s">
        <v>20</v>
      </c>
      <c r="C314" s="2" t="s">
        <v>16</v>
      </c>
      <c r="D314" s="2" t="s">
        <v>71</v>
      </c>
      <c r="E314" s="2" t="n">
        <v>16</v>
      </c>
      <c r="F314" s="3" t="n">
        <v>229.99</v>
      </c>
      <c r="G314" s="2" t="s">
        <v>18</v>
      </c>
      <c r="H314" s="3" t="n">
        <f aca="false">E314*F314</f>
        <v>3679.84</v>
      </c>
      <c r="I314" s="2" t="str">
        <f aca="false">TEXT(A314,"MMM YYYY")</f>
        <v>Oct 2025</v>
      </c>
    </row>
    <row r="315" customFormat="false" ht="15" hidden="false" customHeight="false" outlineLevel="0" collapsed="false">
      <c r="A315" s="2" t="s">
        <v>228</v>
      </c>
      <c r="B315" s="2" t="s">
        <v>10</v>
      </c>
      <c r="C315" s="2" t="s">
        <v>16</v>
      </c>
      <c r="D315" s="2" t="s">
        <v>17</v>
      </c>
      <c r="E315" s="2" t="n">
        <v>20</v>
      </c>
      <c r="F315" s="3" t="n">
        <v>899.99</v>
      </c>
      <c r="G315" s="2" t="s">
        <v>39</v>
      </c>
      <c r="H315" s="3" t="n">
        <f aca="false">E315*F315</f>
        <v>17999.8</v>
      </c>
      <c r="I315" s="2" t="str">
        <f aca="false">TEXT(A315,"MMM YYYY")</f>
        <v>Oct 2025</v>
      </c>
    </row>
    <row r="316" customFormat="false" ht="15" hidden="false" customHeight="false" outlineLevel="0" collapsed="false">
      <c r="A316" s="2" t="s">
        <v>229</v>
      </c>
      <c r="B316" s="2" t="s">
        <v>15</v>
      </c>
      <c r="C316" s="2" t="s">
        <v>11</v>
      </c>
      <c r="D316" s="2" t="s">
        <v>38</v>
      </c>
      <c r="E316" s="2" t="n">
        <v>18</v>
      </c>
      <c r="F316" s="3" t="n">
        <v>99.99</v>
      </c>
      <c r="G316" s="2" t="s">
        <v>39</v>
      </c>
      <c r="H316" s="3" t="n">
        <f aca="false">E316*F316</f>
        <v>1799.82</v>
      </c>
      <c r="I316" s="2" t="str">
        <f aca="false">TEXT(A316,"MMM YYYY")</f>
        <v>Oct 2025</v>
      </c>
    </row>
    <row r="317" customFormat="false" ht="15" hidden="false" customHeight="false" outlineLevel="0" collapsed="false">
      <c r="A317" s="2" t="s">
        <v>229</v>
      </c>
      <c r="B317" s="2" t="s">
        <v>10</v>
      </c>
      <c r="C317" s="2" t="s">
        <v>29</v>
      </c>
      <c r="D317" s="2" t="s">
        <v>56</v>
      </c>
      <c r="E317" s="2" t="n">
        <v>15</v>
      </c>
      <c r="F317" s="3" t="n">
        <v>149.99</v>
      </c>
      <c r="G317" s="2" t="s">
        <v>35</v>
      </c>
      <c r="H317" s="3" t="n">
        <f aca="false">E317*F317</f>
        <v>2249.85</v>
      </c>
      <c r="I317" s="2" t="str">
        <f aca="false">TEXT(A317,"MMM YYYY")</f>
        <v>Oct 2025</v>
      </c>
    </row>
    <row r="318" customFormat="false" ht="15" hidden="false" customHeight="false" outlineLevel="0" collapsed="false">
      <c r="A318" s="2" t="s">
        <v>229</v>
      </c>
      <c r="B318" s="2" t="s">
        <v>10</v>
      </c>
      <c r="C318" s="2" t="s">
        <v>16</v>
      </c>
      <c r="D318" s="2" t="s">
        <v>45</v>
      </c>
      <c r="E318" s="2" t="n">
        <v>12</v>
      </c>
      <c r="F318" s="3" t="n">
        <v>349.99</v>
      </c>
      <c r="G318" s="2" t="s">
        <v>13</v>
      </c>
      <c r="H318" s="3" t="n">
        <f aca="false">E318*F318</f>
        <v>4199.88</v>
      </c>
      <c r="I318" s="2" t="str">
        <f aca="false">TEXT(A318,"MMM YYYY")</f>
        <v>Oct 2025</v>
      </c>
    </row>
    <row r="319" customFormat="false" ht="15" hidden="false" customHeight="false" outlineLevel="0" collapsed="false">
      <c r="A319" s="2" t="s">
        <v>229</v>
      </c>
      <c r="B319" s="2" t="s">
        <v>20</v>
      </c>
      <c r="C319" s="2" t="s">
        <v>11</v>
      </c>
      <c r="D319" s="2" t="s">
        <v>93</v>
      </c>
      <c r="E319" s="2" t="n">
        <v>22</v>
      </c>
      <c r="F319" s="3" t="n">
        <v>189.99</v>
      </c>
      <c r="G319" s="2" t="s">
        <v>31</v>
      </c>
      <c r="H319" s="3" t="n">
        <f aca="false">E319*F319</f>
        <v>4179.78</v>
      </c>
      <c r="I319" s="2" t="str">
        <f aca="false">TEXT(A319,"MMM YYYY")</f>
        <v>Oct 2025</v>
      </c>
    </row>
    <row r="320" customFormat="false" ht="15" hidden="false" customHeight="false" outlineLevel="0" collapsed="false">
      <c r="A320" s="2" t="s">
        <v>230</v>
      </c>
      <c r="B320" s="2" t="s">
        <v>15</v>
      </c>
      <c r="C320" s="2" t="s">
        <v>24</v>
      </c>
      <c r="D320" s="2" t="s">
        <v>34</v>
      </c>
      <c r="E320" s="2" t="n">
        <v>20</v>
      </c>
      <c r="F320" s="3" t="n">
        <v>6.99</v>
      </c>
      <c r="G320" s="2" t="s">
        <v>13</v>
      </c>
      <c r="H320" s="3" t="n">
        <f aca="false">E320*F320</f>
        <v>139.8</v>
      </c>
      <c r="I320" s="2" t="str">
        <f aca="false">TEXT(A320,"MMM YYYY")</f>
        <v>Oct 2025</v>
      </c>
    </row>
    <row r="321" customFormat="false" ht="15" hidden="false" customHeight="false" outlineLevel="0" collapsed="false">
      <c r="A321" s="2" t="s">
        <v>230</v>
      </c>
      <c r="B321" s="2" t="s">
        <v>10</v>
      </c>
      <c r="C321" s="2" t="s">
        <v>16</v>
      </c>
      <c r="D321" s="2" t="s">
        <v>64</v>
      </c>
      <c r="E321" s="2" t="n">
        <v>9</v>
      </c>
      <c r="F321" s="3" t="n">
        <v>79.99</v>
      </c>
      <c r="G321" s="2" t="s">
        <v>21</v>
      </c>
      <c r="H321" s="3" t="n">
        <f aca="false">E321*F321</f>
        <v>719.91</v>
      </c>
      <c r="I321" s="2" t="str">
        <f aca="false">TEXT(A321,"MMM YYYY")</f>
        <v>Oct 2025</v>
      </c>
    </row>
    <row r="322" customFormat="false" ht="15" hidden="false" customHeight="false" outlineLevel="0" collapsed="false">
      <c r="A322" s="2" t="s">
        <v>231</v>
      </c>
      <c r="B322" s="2" t="s">
        <v>10</v>
      </c>
      <c r="C322" s="2" t="s">
        <v>16</v>
      </c>
      <c r="D322" s="2" t="s">
        <v>45</v>
      </c>
      <c r="E322" s="2" t="n">
        <v>4</v>
      </c>
      <c r="F322" s="3" t="n">
        <v>349.99</v>
      </c>
      <c r="G322" s="2" t="s">
        <v>31</v>
      </c>
      <c r="H322" s="3" t="n">
        <f aca="false">E322*F322</f>
        <v>1399.96</v>
      </c>
      <c r="I322" s="2" t="str">
        <f aca="false">TEXT(A322,"MMM YYYY")</f>
        <v>Oct 2025</v>
      </c>
    </row>
    <row r="323" customFormat="false" ht="15" hidden="false" customHeight="false" outlineLevel="0" collapsed="false">
      <c r="A323" s="2" t="s">
        <v>232</v>
      </c>
      <c r="B323" s="2" t="s">
        <v>10</v>
      </c>
      <c r="C323" s="2" t="s">
        <v>24</v>
      </c>
      <c r="D323" s="2" t="s">
        <v>25</v>
      </c>
      <c r="E323" s="2" t="n">
        <v>3</v>
      </c>
      <c r="F323" s="3" t="n">
        <v>8.99</v>
      </c>
      <c r="G323" s="2" t="s">
        <v>35</v>
      </c>
      <c r="H323" s="3" t="n">
        <f aca="false">E323*F323</f>
        <v>26.97</v>
      </c>
      <c r="I323" s="2" t="str">
        <f aca="false">TEXT(A323,"MMM YYYY")</f>
        <v>Oct 2025</v>
      </c>
    </row>
    <row r="324" customFormat="false" ht="15" hidden="false" customHeight="false" outlineLevel="0" collapsed="false">
      <c r="A324" s="2" t="s">
        <v>233</v>
      </c>
      <c r="B324" s="2" t="s">
        <v>15</v>
      </c>
      <c r="C324" s="2" t="s">
        <v>24</v>
      </c>
      <c r="D324" s="2" t="s">
        <v>34</v>
      </c>
      <c r="E324" s="2" t="n">
        <v>22</v>
      </c>
      <c r="F324" s="3" t="n">
        <v>6.99</v>
      </c>
      <c r="G324" s="2" t="s">
        <v>13</v>
      </c>
      <c r="H324" s="3" t="n">
        <f aca="false">E324*F324</f>
        <v>153.78</v>
      </c>
      <c r="I324" s="2" t="str">
        <f aca="false">TEXT(A324,"MMM YYYY")</f>
        <v>Nov 2025</v>
      </c>
    </row>
    <row r="325" customFormat="false" ht="15" hidden="false" customHeight="false" outlineLevel="0" collapsed="false">
      <c r="A325" s="2" t="s">
        <v>234</v>
      </c>
      <c r="B325" s="2" t="s">
        <v>20</v>
      </c>
      <c r="C325" s="2" t="s">
        <v>16</v>
      </c>
      <c r="D325" s="2" t="s">
        <v>42</v>
      </c>
      <c r="E325" s="2" t="n">
        <v>25</v>
      </c>
      <c r="F325" s="3" t="n">
        <v>649.99</v>
      </c>
      <c r="G325" s="2" t="s">
        <v>39</v>
      </c>
      <c r="H325" s="3" t="n">
        <f aca="false">E325*F325</f>
        <v>16249.75</v>
      </c>
      <c r="I325" s="2" t="str">
        <f aca="false">TEXT(A325,"MMM YYYY")</f>
        <v>Nov 2025</v>
      </c>
    </row>
    <row r="326" customFormat="false" ht="15" hidden="false" customHeight="false" outlineLevel="0" collapsed="false">
      <c r="A326" s="2" t="s">
        <v>234</v>
      </c>
      <c r="B326" s="2" t="s">
        <v>23</v>
      </c>
      <c r="C326" s="2" t="s">
        <v>16</v>
      </c>
      <c r="D326" s="2" t="s">
        <v>64</v>
      </c>
      <c r="E326" s="2" t="n">
        <v>10</v>
      </c>
      <c r="F326" s="3" t="n">
        <v>79.99</v>
      </c>
      <c r="G326" s="2" t="s">
        <v>18</v>
      </c>
      <c r="H326" s="3" t="n">
        <f aca="false">E326*F326</f>
        <v>799.9</v>
      </c>
      <c r="I326" s="2" t="str">
        <f aca="false">TEXT(A326,"MMM YYYY")</f>
        <v>Nov 2025</v>
      </c>
    </row>
    <row r="327" customFormat="false" ht="15" hidden="false" customHeight="false" outlineLevel="0" collapsed="false">
      <c r="A327" s="2" t="s">
        <v>235</v>
      </c>
      <c r="B327" s="2" t="s">
        <v>20</v>
      </c>
      <c r="C327" s="2" t="s">
        <v>24</v>
      </c>
      <c r="D327" s="2" t="s">
        <v>34</v>
      </c>
      <c r="E327" s="2" t="n">
        <v>19</v>
      </c>
      <c r="F327" s="3" t="n">
        <v>6.99</v>
      </c>
      <c r="G327" s="2" t="s">
        <v>13</v>
      </c>
      <c r="H327" s="3" t="n">
        <f aca="false">E327*F327</f>
        <v>132.81</v>
      </c>
      <c r="I327" s="2" t="str">
        <f aca="false">TEXT(A327,"MMM YYYY")</f>
        <v>Nov 2025</v>
      </c>
    </row>
    <row r="328" customFormat="false" ht="15" hidden="false" customHeight="false" outlineLevel="0" collapsed="false">
      <c r="A328" s="2" t="s">
        <v>236</v>
      </c>
      <c r="B328" s="2" t="s">
        <v>15</v>
      </c>
      <c r="C328" s="2" t="s">
        <v>16</v>
      </c>
      <c r="D328" s="2" t="s">
        <v>17</v>
      </c>
      <c r="E328" s="2" t="n">
        <v>21</v>
      </c>
      <c r="F328" s="3" t="n">
        <v>899.99</v>
      </c>
      <c r="G328" s="2" t="s">
        <v>13</v>
      </c>
      <c r="H328" s="3" t="n">
        <f aca="false">E328*F328</f>
        <v>18899.79</v>
      </c>
      <c r="I328" s="2" t="str">
        <f aca="false">TEXT(A328,"MMM YYYY")</f>
        <v>Nov 2025</v>
      </c>
    </row>
    <row r="329" customFormat="false" ht="15" hidden="false" customHeight="false" outlineLevel="0" collapsed="false">
      <c r="A329" s="2" t="s">
        <v>236</v>
      </c>
      <c r="B329" s="2" t="s">
        <v>10</v>
      </c>
      <c r="C329" s="2" t="s">
        <v>16</v>
      </c>
      <c r="D329" s="2" t="s">
        <v>17</v>
      </c>
      <c r="E329" s="2" t="n">
        <v>3</v>
      </c>
      <c r="F329" s="3" t="n">
        <v>899.99</v>
      </c>
      <c r="G329" s="2" t="s">
        <v>21</v>
      </c>
      <c r="H329" s="3" t="n">
        <f aca="false">E329*F329</f>
        <v>2699.97</v>
      </c>
      <c r="I329" s="2" t="str">
        <f aca="false">TEXT(A329,"MMM YYYY")</f>
        <v>Nov 2025</v>
      </c>
    </row>
    <row r="330" customFormat="false" ht="15" hidden="false" customHeight="false" outlineLevel="0" collapsed="false">
      <c r="A330" s="2" t="s">
        <v>237</v>
      </c>
      <c r="B330" s="2" t="s">
        <v>15</v>
      </c>
      <c r="C330" s="2" t="s">
        <v>11</v>
      </c>
      <c r="D330" s="2" t="s">
        <v>37</v>
      </c>
      <c r="E330" s="2" t="n">
        <v>23</v>
      </c>
      <c r="F330" s="3" t="n">
        <v>349.99</v>
      </c>
      <c r="G330" s="2" t="s">
        <v>35</v>
      </c>
      <c r="H330" s="3" t="n">
        <f aca="false">E330*F330</f>
        <v>8049.77</v>
      </c>
      <c r="I330" s="2" t="str">
        <f aca="false">TEXT(A330,"MMM YYYY")</f>
        <v>Nov 2025</v>
      </c>
    </row>
    <row r="331" customFormat="false" ht="15" hidden="false" customHeight="false" outlineLevel="0" collapsed="false">
      <c r="A331" s="2" t="s">
        <v>237</v>
      </c>
      <c r="B331" s="2" t="s">
        <v>20</v>
      </c>
      <c r="C331" s="2" t="s">
        <v>29</v>
      </c>
      <c r="D331" s="2" t="s">
        <v>32</v>
      </c>
      <c r="E331" s="2" t="n">
        <v>15</v>
      </c>
      <c r="F331" s="3" t="n">
        <v>34.99</v>
      </c>
      <c r="G331" s="2" t="s">
        <v>35</v>
      </c>
      <c r="H331" s="3" t="n">
        <f aca="false">E331*F331</f>
        <v>524.85</v>
      </c>
      <c r="I331" s="2" t="str">
        <f aca="false">TEXT(A331,"MMM YYYY")</f>
        <v>Nov 2025</v>
      </c>
    </row>
    <row r="332" customFormat="false" ht="15" hidden="false" customHeight="false" outlineLevel="0" collapsed="false">
      <c r="A332" s="2" t="s">
        <v>237</v>
      </c>
      <c r="B332" s="2" t="s">
        <v>10</v>
      </c>
      <c r="C332" s="2" t="s">
        <v>29</v>
      </c>
      <c r="D332" s="2" t="s">
        <v>32</v>
      </c>
      <c r="E332" s="2" t="n">
        <v>25</v>
      </c>
      <c r="F332" s="3" t="n">
        <v>34.99</v>
      </c>
      <c r="G332" s="2" t="s">
        <v>31</v>
      </c>
      <c r="H332" s="3" t="n">
        <f aca="false">E332*F332</f>
        <v>874.75</v>
      </c>
      <c r="I332" s="2" t="str">
        <f aca="false">TEXT(A332,"MMM YYYY")</f>
        <v>Nov 2025</v>
      </c>
    </row>
    <row r="333" customFormat="false" ht="15" hidden="false" customHeight="false" outlineLevel="0" collapsed="false">
      <c r="A333" s="2" t="s">
        <v>238</v>
      </c>
      <c r="B333" s="2" t="s">
        <v>15</v>
      </c>
      <c r="C333" s="2" t="s">
        <v>16</v>
      </c>
      <c r="D333" s="2" t="s">
        <v>42</v>
      </c>
      <c r="E333" s="2" t="n">
        <v>8</v>
      </c>
      <c r="F333" s="3" t="n">
        <v>649.99</v>
      </c>
      <c r="G333" s="2" t="s">
        <v>35</v>
      </c>
      <c r="H333" s="3" t="n">
        <f aca="false">E333*F333</f>
        <v>5199.92</v>
      </c>
      <c r="I333" s="2" t="str">
        <f aca="false">TEXT(A333,"MMM YYYY")</f>
        <v>Nov 2025</v>
      </c>
    </row>
    <row r="334" customFormat="false" ht="15" hidden="false" customHeight="false" outlineLevel="0" collapsed="false">
      <c r="A334" s="2" t="s">
        <v>239</v>
      </c>
      <c r="B334" s="2" t="s">
        <v>20</v>
      </c>
      <c r="C334" s="2" t="s">
        <v>16</v>
      </c>
      <c r="D334" s="2" t="s">
        <v>45</v>
      </c>
      <c r="E334" s="2" t="n">
        <v>23</v>
      </c>
      <c r="F334" s="3" t="n">
        <v>349.99</v>
      </c>
      <c r="G334" s="2" t="s">
        <v>35</v>
      </c>
      <c r="H334" s="3" t="n">
        <f aca="false">E334*F334</f>
        <v>8049.77</v>
      </c>
      <c r="I334" s="2" t="str">
        <f aca="false">TEXT(A334,"MMM YYYY")</f>
        <v>Nov 2025</v>
      </c>
    </row>
    <row r="335" customFormat="false" ht="15" hidden="false" customHeight="false" outlineLevel="0" collapsed="false">
      <c r="A335" s="2" t="s">
        <v>239</v>
      </c>
      <c r="B335" s="2" t="s">
        <v>20</v>
      </c>
      <c r="C335" s="2" t="s">
        <v>24</v>
      </c>
      <c r="D335" s="2" t="s">
        <v>40</v>
      </c>
      <c r="E335" s="2" t="n">
        <v>10</v>
      </c>
      <c r="F335" s="3" t="n">
        <v>12.99</v>
      </c>
      <c r="G335" s="2" t="s">
        <v>39</v>
      </c>
      <c r="H335" s="3" t="n">
        <f aca="false">E335*F335</f>
        <v>129.9</v>
      </c>
      <c r="I335" s="2" t="str">
        <f aca="false">TEXT(A335,"MMM YYYY")</f>
        <v>Nov 2025</v>
      </c>
    </row>
    <row r="336" customFormat="false" ht="15" hidden="false" customHeight="false" outlineLevel="0" collapsed="false">
      <c r="A336" s="2" t="s">
        <v>239</v>
      </c>
      <c r="B336" s="2" t="s">
        <v>23</v>
      </c>
      <c r="C336" s="2" t="s">
        <v>11</v>
      </c>
      <c r="D336" s="2" t="s">
        <v>93</v>
      </c>
      <c r="E336" s="2" t="n">
        <v>13</v>
      </c>
      <c r="F336" s="3" t="n">
        <v>189.99</v>
      </c>
      <c r="G336" s="2" t="s">
        <v>35</v>
      </c>
      <c r="H336" s="3" t="n">
        <f aca="false">E336*F336</f>
        <v>2469.87</v>
      </c>
      <c r="I336" s="2" t="str">
        <f aca="false">TEXT(A336,"MMM YYYY")</f>
        <v>Nov 2025</v>
      </c>
    </row>
    <row r="337" customFormat="false" ht="15" hidden="false" customHeight="false" outlineLevel="0" collapsed="false">
      <c r="A337" s="2" t="s">
        <v>240</v>
      </c>
      <c r="B337" s="2" t="s">
        <v>15</v>
      </c>
      <c r="C337" s="2" t="s">
        <v>29</v>
      </c>
      <c r="D337" s="2" t="s">
        <v>30</v>
      </c>
      <c r="E337" s="2" t="n">
        <v>24</v>
      </c>
      <c r="F337" s="3" t="n">
        <v>59.99</v>
      </c>
      <c r="G337" s="2" t="s">
        <v>39</v>
      </c>
      <c r="H337" s="3" t="n">
        <f aca="false">E337*F337</f>
        <v>1439.76</v>
      </c>
      <c r="I337" s="2" t="str">
        <f aca="false">TEXT(A337,"MMM YYYY")</f>
        <v>Nov 2025</v>
      </c>
    </row>
    <row r="338" customFormat="false" ht="15" hidden="false" customHeight="false" outlineLevel="0" collapsed="false">
      <c r="A338" s="2" t="s">
        <v>240</v>
      </c>
      <c r="B338" s="2" t="s">
        <v>15</v>
      </c>
      <c r="C338" s="2" t="s">
        <v>16</v>
      </c>
      <c r="D338" s="2" t="s">
        <v>64</v>
      </c>
      <c r="E338" s="2" t="n">
        <v>17</v>
      </c>
      <c r="F338" s="3" t="n">
        <v>79.99</v>
      </c>
      <c r="G338" s="2" t="s">
        <v>18</v>
      </c>
      <c r="H338" s="3" t="n">
        <f aca="false">E338*F338</f>
        <v>1359.83</v>
      </c>
      <c r="I338" s="2" t="str">
        <f aca="false">TEXT(A338,"MMM YYYY")</f>
        <v>Nov 2025</v>
      </c>
    </row>
    <row r="339" customFormat="false" ht="15" hidden="false" customHeight="false" outlineLevel="0" collapsed="false">
      <c r="A339" s="2" t="s">
        <v>241</v>
      </c>
      <c r="B339" s="2" t="s">
        <v>10</v>
      </c>
      <c r="C339" s="2" t="s">
        <v>11</v>
      </c>
      <c r="D339" s="2" t="s">
        <v>38</v>
      </c>
      <c r="E339" s="2" t="n">
        <v>6</v>
      </c>
      <c r="F339" s="3" t="n">
        <v>99.99</v>
      </c>
      <c r="G339" s="2" t="s">
        <v>13</v>
      </c>
      <c r="H339" s="3" t="n">
        <f aca="false">E339*F339</f>
        <v>599.94</v>
      </c>
      <c r="I339" s="2" t="str">
        <f aca="false">TEXT(A339,"MMM YYYY")</f>
        <v>Nov 2025</v>
      </c>
    </row>
    <row r="340" customFormat="false" ht="15" hidden="false" customHeight="false" outlineLevel="0" collapsed="false">
      <c r="A340" s="2" t="s">
        <v>242</v>
      </c>
      <c r="B340" s="2" t="s">
        <v>20</v>
      </c>
      <c r="C340" s="2" t="s">
        <v>11</v>
      </c>
      <c r="D340" s="2" t="s">
        <v>37</v>
      </c>
      <c r="E340" s="2" t="n">
        <v>16</v>
      </c>
      <c r="F340" s="3" t="n">
        <v>349.99</v>
      </c>
      <c r="G340" s="2" t="s">
        <v>13</v>
      </c>
      <c r="H340" s="3" t="n">
        <f aca="false">E340*F340</f>
        <v>5599.84</v>
      </c>
      <c r="I340" s="2" t="str">
        <f aca="false">TEXT(A340,"MMM YYYY")</f>
        <v>Nov 2025</v>
      </c>
    </row>
    <row r="341" customFormat="false" ht="15" hidden="false" customHeight="false" outlineLevel="0" collapsed="false">
      <c r="A341" s="2" t="s">
        <v>243</v>
      </c>
      <c r="B341" s="2" t="s">
        <v>10</v>
      </c>
      <c r="C341" s="2" t="s">
        <v>11</v>
      </c>
      <c r="D341" s="2" t="s">
        <v>93</v>
      </c>
      <c r="E341" s="2" t="n">
        <v>2</v>
      </c>
      <c r="F341" s="3" t="n">
        <v>189.99</v>
      </c>
      <c r="G341" s="2" t="s">
        <v>13</v>
      </c>
      <c r="H341" s="3" t="n">
        <f aca="false">E341*F341</f>
        <v>379.98</v>
      </c>
      <c r="I341" s="2" t="str">
        <f aca="false">TEXT(A341,"MMM YYYY")</f>
        <v>Nov 2025</v>
      </c>
    </row>
    <row r="342" customFormat="false" ht="15" hidden="false" customHeight="false" outlineLevel="0" collapsed="false">
      <c r="A342" s="2" t="s">
        <v>243</v>
      </c>
      <c r="B342" s="2" t="s">
        <v>20</v>
      </c>
      <c r="C342" s="2" t="s">
        <v>29</v>
      </c>
      <c r="D342" s="2" t="s">
        <v>51</v>
      </c>
      <c r="E342" s="2" t="n">
        <v>13</v>
      </c>
      <c r="F342" s="3" t="n">
        <v>119.99</v>
      </c>
      <c r="G342" s="2" t="s">
        <v>39</v>
      </c>
      <c r="H342" s="3" t="n">
        <f aca="false">E342*F342</f>
        <v>1559.87</v>
      </c>
      <c r="I342" s="2" t="str">
        <f aca="false">TEXT(A342,"MMM YYYY")</f>
        <v>Nov 2025</v>
      </c>
    </row>
    <row r="343" customFormat="false" ht="15" hidden="false" customHeight="false" outlineLevel="0" collapsed="false">
      <c r="A343" s="2" t="s">
        <v>243</v>
      </c>
      <c r="B343" s="2" t="s">
        <v>23</v>
      </c>
      <c r="C343" s="2" t="s">
        <v>24</v>
      </c>
      <c r="D343" s="2" t="s">
        <v>27</v>
      </c>
      <c r="E343" s="2" t="n">
        <v>2</v>
      </c>
      <c r="F343" s="3" t="n">
        <v>4.99</v>
      </c>
      <c r="G343" s="2" t="s">
        <v>31</v>
      </c>
      <c r="H343" s="3" t="n">
        <f aca="false">E343*F343</f>
        <v>9.98</v>
      </c>
      <c r="I343" s="2" t="str">
        <f aca="false">TEXT(A343,"MMM YYYY")</f>
        <v>Nov 2025</v>
      </c>
    </row>
    <row r="344" customFormat="false" ht="15" hidden="false" customHeight="false" outlineLevel="0" collapsed="false">
      <c r="A344" s="2" t="s">
        <v>244</v>
      </c>
      <c r="B344" s="2" t="s">
        <v>23</v>
      </c>
      <c r="C344" s="2" t="s">
        <v>11</v>
      </c>
      <c r="D344" s="2" t="s">
        <v>12</v>
      </c>
      <c r="E344" s="2" t="n">
        <v>12</v>
      </c>
      <c r="F344" s="3" t="n">
        <v>129.99</v>
      </c>
      <c r="G344" s="2" t="s">
        <v>13</v>
      </c>
      <c r="H344" s="3" t="n">
        <f aca="false">E344*F344</f>
        <v>1559.88</v>
      </c>
      <c r="I344" s="2" t="str">
        <f aca="false">TEXT(A344,"MMM YYYY")</f>
        <v>Nov 2025</v>
      </c>
    </row>
    <row r="345" customFormat="false" ht="15" hidden="false" customHeight="false" outlineLevel="0" collapsed="false">
      <c r="A345" s="2" t="s">
        <v>245</v>
      </c>
      <c r="B345" s="2" t="s">
        <v>15</v>
      </c>
      <c r="C345" s="2" t="s">
        <v>16</v>
      </c>
      <c r="D345" s="2" t="s">
        <v>45</v>
      </c>
      <c r="E345" s="2" t="n">
        <v>12</v>
      </c>
      <c r="F345" s="3" t="n">
        <v>349.99</v>
      </c>
      <c r="G345" s="2" t="s">
        <v>39</v>
      </c>
      <c r="H345" s="3" t="n">
        <f aca="false">E345*F345</f>
        <v>4199.88</v>
      </c>
      <c r="I345" s="2" t="str">
        <f aca="false">TEXT(A345,"MMM YYYY")</f>
        <v>Nov 2025</v>
      </c>
    </row>
    <row r="346" customFormat="false" ht="15" hidden="false" customHeight="false" outlineLevel="0" collapsed="false">
      <c r="A346" s="2" t="s">
        <v>246</v>
      </c>
      <c r="B346" s="2" t="s">
        <v>10</v>
      </c>
      <c r="C346" s="2" t="s">
        <v>29</v>
      </c>
      <c r="D346" s="2" t="s">
        <v>56</v>
      </c>
      <c r="E346" s="2" t="n">
        <v>22</v>
      </c>
      <c r="F346" s="3" t="n">
        <v>149.99</v>
      </c>
      <c r="G346" s="2" t="s">
        <v>21</v>
      </c>
      <c r="H346" s="3" t="n">
        <f aca="false">E346*F346</f>
        <v>3299.78</v>
      </c>
      <c r="I346" s="2" t="str">
        <f aca="false">TEXT(A346,"MMM YYYY")</f>
        <v>Nov 2025</v>
      </c>
    </row>
    <row r="347" customFormat="false" ht="15" hidden="false" customHeight="false" outlineLevel="0" collapsed="false">
      <c r="A347" s="2" t="s">
        <v>247</v>
      </c>
      <c r="B347" s="2" t="s">
        <v>23</v>
      </c>
      <c r="C347" s="2" t="s">
        <v>16</v>
      </c>
      <c r="D347" s="2" t="s">
        <v>42</v>
      </c>
      <c r="E347" s="2" t="n">
        <v>8</v>
      </c>
      <c r="F347" s="3" t="n">
        <v>649.99</v>
      </c>
      <c r="G347" s="2" t="s">
        <v>18</v>
      </c>
      <c r="H347" s="3" t="n">
        <f aca="false">E347*F347</f>
        <v>5199.92</v>
      </c>
      <c r="I347" s="2" t="str">
        <f aca="false">TEXT(A347,"MMM YYYY")</f>
        <v>Nov 2025</v>
      </c>
    </row>
    <row r="348" customFormat="false" ht="15" hidden="false" customHeight="false" outlineLevel="0" collapsed="false">
      <c r="A348" s="2" t="s">
        <v>247</v>
      </c>
      <c r="B348" s="2" t="s">
        <v>20</v>
      </c>
      <c r="C348" s="2" t="s">
        <v>24</v>
      </c>
      <c r="D348" s="2" t="s">
        <v>34</v>
      </c>
      <c r="E348" s="2" t="n">
        <v>8</v>
      </c>
      <c r="F348" s="3" t="n">
        <v>6.99</v>
      </c>
      <c r="G348" s="2" t="s">
        <v>21</v>
      </c>
      <c r="H348" s="3" t="n">
        <f aca="false">E348*F348</f>
        <v>55.92</v>
      </c>
      <c r="I348" s="2" t="str">
        <f aca="false">TEXT(A348,"MMM YYYY")</f>
        <v>Nov 2025</v>
      </c>
    </row>
    <row r="349" customFormat="false" ht="15" hidden="false" customHeight="false" outlineLevel="0" collapsed="false">
      <c r="A349" s="2" t="s">
        <v>247</v>
      </c>
      <c r="B349" s="2" t="s">
        <v>20</v>
      </c>
      <c r="C349" s="2" t="s">
        <v>11</v>
      </c>
      <c r="D349" s="2" t="s">
        <v>38</v>
      </c>
      <c r="E349" s="2" t="n">
        <v>17</v>
      </c>
      <c r="F349" s="3" t="n">
        <v>99.99</v>
      </c>
      <c r="G349" s="2" t="s">
        <v>21</v>
      </c>
      <c r="H349" s="3" t="n">
        <f aca="false">E349*F349</f>
        <v>1699.83</v>
      </c>
      <c r="I349" s="2" t="str">
        <f aca="false">TEXT(A349,"MMM YYYY")</f>
        <v>Nov 2025</v>
      </c>
    </row>
    <row r="350" customFormat="false" ht="15" hidden="false" customHeight="false" outlineLevel="0" collapsed="false">
      <c r="A350" s="2" t="s">
        <v>248</v>
      </c>
      <c r="B350" s="2" t="s">
        <v>23</v>
      </c>
      <c r="C350" s="2" t="s">
        <v>16</v>
      </c>
      <c r="D350" s="2" t="s">
        <v>42</v>
      </c>
      <c r="E350" s="2" t="n">
        <v>8</v>
      </c>
      <c r="F350" s="3" t="n">
        <v>649.99</v>
      </c>
      <c r="G350" s="2" t="s">
        <v>18</v>
      </c>
      <c r="H350" s="3" t="n">
        <f aca="false">E350*F350</f>
        <v>5199.92</v>
      </c>
      <c r="I350" s="2" t="str">
        <f aca="false">TEXT(A350,"MMM YYYY")</f>
        <v>Nov 2025</v>
      </c>
    </row>
    <row r="351" customFormat="false" ht="15" hidden="false" customHeight="false" outlineLevel="0" collapsed="false">
      <c r="A351" s="2" t="s">
        <v>248</v>
      </c>
      <c r="B351" s="2" t="s">
        <v>10</v>
      </c>
      <c r="C351" s="2" t="s">
        <v>11</v>
      </c>
      <c r="D351" s="2" t="s">
        <v>38</v>
      </c>
      <c r="E351" s="2" t="n">
        <v>20</v>
      </c>
      <c r="F351" s="3" t="n">
        <v>99.99</v>
      </c>
      <c r="G351" s="2" t="s">
        <v>13</v>
      </c>
      <c r="H351" s="3" t="n">
        <f aca="false">E351*F351</f>
        <v>1999.8</v>
      </c>
      <c r="I351" s="2" t="str">
        <f aca="false">TEXT(A351,"MMM YYYY")</f>
        <v>Nov 2025</v>
      </c>
    </row>
    <row r="352" customFormat="false" ht="15" hidden="false" customHeight="false" outlineLevel="0" collapsed="false">
      <c r="A352" s="2" t="s">
        <v>249</v>
      </c>
      <c r="B352" s="2" t="s">
        <v>10</v>
      </c>
      <c r="C352" s="2" t="s">
        <v>29</v>
      </c>
      <c r="D352" s="2" t="s">
        <v>56</v>
      </c>
      <c r="E352" s="2" t="n">
        <v>25</v>
      </c>
      <c r="F352" s="3" t="n">
        <v>149.99</v>
      </c>
      <c r="G352" s="2" t="s">
        <v>21</v>
      </c>
      <c r="H352" s="3" t="n">
        <f aca="false">E352*F352</f>
        <v>3749.75</v>
      </c>
      <c r="I352" s="2" t="str">
        <f aca="false">TEXT(A352,"MMM YYYY")</f>
        <v>Nov 2025</v>
      </c>
    </row>
    <row r="353" customFormat="false" ht="15" hidden="false" customHeight="false" outlineLevel="0" collapsed="false">
      <c r="A353" s="2" t="s">
        <v>249</v>
      </c>
      <c r="B353" s="2" t="s">
        <v>20</v>
      </c>
      <c r="C353" s="2" t="s">
        <v>11</v>
      </c>
      <c r="D353" s="2" t="s">
        <v>93</v>
      </c>
      <c r="E353" s="2" t="n">
        <v>5</v>
      </c>
      <c r="F353" s="3" t="n">
        <v>189.99</v>
      </c>
      <c r="G353" s="2" t="s">
        <v>35</v>
      </c>
      <c r="H353" s="3" t="n">
        <f aca="false">E353*F353</f>
        <v>949.95</v>
      </c>
      <c r="I353" s="2" t="str">
        <f aca="false">TEXT(A353,"MMM YYYY")</f>
        <v>Nov 2025</v>
      </c>
    </row>
    <row r="354" customFormat="false" ht="15" hidden="false" customHeight="false" outlineLevel="0" collapsed="false">
      <c r="A354" s="2" t="s">
        <v>250</v>
      </c>
      <c r="B354" s="2" t="s">
        <v>20</v>
      </c>
      <c r="C354" s="2" t="s">
        <v>24</v>
      </c>
      <c r="D354" s="2" t="s">
        <v>25</v>
      </c>
      <c r="E354" s="2" t="n">
        <v>3</v>
      </c>
      <c r="F354" s="3" t="n">
        <v>8.99</v>
      </c>
      <c r="G354" s="2" t="s">
        <v>21</v>
      </c>
      <c r="H354" s="3" t="n">
        <f aca="false">E354*F354</f>
        <v>26.97</v>
      </c>
      <c r="I354" s="2" t="str">
        <f aca="false">TEXT(A354,"MMM YYYY")</f>
        <v>Nov 2025</v>
      </c>
    </row>
    <row r="355" customFormat="false" ht="15" hidden="false" customHeight="false" outlineLevel="0" collapsed="false">
      <c r="A355" s="2" t="s">
        <v>251</v>
      </c>
      <c r="B355" s="2" t="s">
        <v>15</v>
      </c>
      <c r="C355" s="2" t="s">
        <v>16</v>
      </c>
      <c r="D355" s="2" t="s">
        <v>64</v>
      </c>
      <c r="E355" s="2" t="n">
        <v>2</v>
      </c>
      <c r="F355" s="3" t="n">
        <v>79.99</v>
      </c>
      <c r="G355" s="2" t="s">
        <v>21</v>
      </c>
      <c r="H355" s="3" t="n">
        <f aca="false">E355*F355</f>
        <v>159.98</v>
      </c>
      <c r="I355" s="2" t="str">
        <f aca="false">TEXT(A355,"MMM YYYY")</f>
        <v>Nov 2025</v>
      </c>
    </row>
    <row r="356" customFormat="false" ht="15" hidden="false" customHeight="false" outlineLevel="0" collapsed="false">
      <c r="A356" s="2" t="s">
        <v>252</v>
      </c>
      <c r="B356" s="2" t="s">
        <v>23</v>
      </c>
      <c r="C356" s="2" t="s">
        <v>16</v>
      </c>
      <c r="D356" s="2" t="s">
        <v>64</v>
      </c>
      <c r="E356" s="2" t="n">
        <v>7</v>
      </c>
      <c r="F356" s="3" t="n">
        <v>79.99</v>
      </c>
      <c r="G356" s="2" t="s">
        <v>21</v>
      </c>
      <c r="H356" s="3" t="n">
        <f aca="false">E356*F356</f>
        <v>559.93</v>
      </c>
      <c r="I356" s="2" t="str">
        <f aca="false">TEXT(A356,"MMM YYYY")</f>
        <v>Nov 2025</v>
      </c>
    </row>
    <row r="357" customFormat="false" ht="15" hidden="false" customHeight="false" outlineLevel="0" collapsed="false">
      <c r="A357" s="2" t="s">
        <v>252</v>
      </c>
      <c r="B357" s="2" t="s">
        <v>20</v>
      </c>
      <c r="C357" s="2" t="s">
        <v>29</v>
      </c>
      <c r="D357" s="2" t="s">
        <v>51</v>
      </c>
      <c r="E357" s="2" t="n">
        <v>5</v>
      </c>
      <c r="F357" s="3" t="n">
        <v>119.99</v>
      </c>
      <c r="G357" s="2" t="s">
        <v>31</v>
      </c>
      <c r="H357" s="3" t="n">
        <f aca="false">E357*F357</f>
        <v>599.95</v>
      </c>
      <c r="I357" s="2" t="str">
        <f aca="false">TEXT(A357,"MMM YYYY")</f>
        <v>Nov 2025</v>
      </c>
    </row>
    <row r="358" customFormat="false" ht="15" hidden="false" customHeight="false" outlineLevel="0" collapsed="false">
      <c r="A358" s="2" t="s">
        <v>253</v>
      </c>
      <c r="B358" s="2" t="s">
        <v>10</v>
      </c>
      <c r="C358" s="2" t="s">
        <v>29</v>
      </c>
      <c r="D358" s="2" t="s">
        <v>32</v>
      </c>
      <c r="E358" s="2" t="n">
        <v>15</v>
      </c>
      <c r="F358" s="3" t="n">
        <v>34.99</v>
      </c>
      <c r="G358" s="2" t="s">
        <v>13</v>
      </c>
      <c r="H358" s="3" t="n">
        <f aca="false">E358*F358</f>
        <v>524.85</v>
      </c>
      <c r="I358" s="2" t="str">
        <f aca="false">TEXT(A358,"MMM YYYY")</f>
        <v>Dec 2025</v>
      </c>
    </row>
    <row r="359" customFormat="false" ht="15" hidden="false" customHeight="false" outlineLevel="0" collapsed="false">
      <c r="A359" s="2" t="s">
        <v>253</v>
      </c>
      <c r="B359" s="2" t="s">
        <v>23</v>
      </c>
      <c r="C359" s="2" t="s">
        <v>16</v>
      </c>
      <c r="D359" s="2" t="s">
        <v>45</v>
      </c>
      <c r="E359" s="2" t="n">
        <v>8</v>
      </c>
      <c r="F359" s="3" t="n">
        <v>349.99</v>
      </c>
      <c r="G359" s="2" t="s">
        <v>18</v>
      </c>
      <c r="H359" s="3" t="n">
        <f aca="false">E359*F359</f>
        <v>2799.92</v>
      </c>
      <c r="I359" s="2" t="str">
        <f aca="false">TEXT(A359,"MMM YYYY")</f>
        <v>Dec 2025</v>
      </c>
    </row>
    <row r="360" customFormat="false" ht="15" hidden="false" customHeight="false" outlineLevel="0" collapsed="false">
      <c r="A360" s="2" t="s">
        <v>253</v>
      </c>
      <c r="B360" s="2" t="s">
        <v>10</v>
      </c>
      <c r="C360" s="2" t="s">
        <v>24</v>
      </c>
      <c r="D360" s="2" t="s">
        <v>34</v>
      </c>
      <c r="E360" s="2" t="n">
        <v>12</v>
      </c>
      <c r="F360" s="3" t="n">
        <v>6.99</v>
      </c>
      <c r="G360" s="2" t="s">
        <v>39</v>
      </c>
      <c r="H360" s="3" t="n">
        <f aca="false">E360*F360</f>
        <v>83.88</v>
      </c>
      <c r="I360" s="2" t="str">
        <f aca="false">TEXT(A360,"MMM YYYY")</f>
        <v>Dec 2025</v>
      </c>
    </row>
    <row r="361" customFormat="false" ht="15" hidden="false" customHeight="false" outlineLevel="0" collapsed="false">
      <c r="A361" s="2" t="s">
        <v>253</v>
      </c>
      <c r="B361" s="2" t="s">
        <v>10</v>
      </c>
      <c r="C361" s="2" t="s">
        <v>29</v>
      </c>
      <c r="D361" s="2" t="s">
        <v>30</v>
      </c>
      <c r="E361" s="2" t="n">
        <v>7</v>
      </c>
      <c r="F361" s="3" t="n">
        <v>59.99</v>
      </c>
      <c r="G361" s="2" t="s">
        <v>31</v>
      </c>
      <c r="H361" s="3" t="n">
        <f aca="false">E361*F361</f>
        <v>419.93</v>
      </c>
      <c r="I361" s="2" t="str">
        <f aca="false">TEXT(A361,"MMM YYYY")</f>
        <v>Dec 2025</v>
      </c>
    </row>
    <row r="362" customFormat="false" ht="15" hidden="false" customHeight="false" outlineLevel="0" collapsed="false">
      <c r="A362" s="2" t="s">
        <v>254</v>
      </c>
      <c r="B362" s="2" t="s">
        <v>10</v>
      </c>
      <c r="C362" s="2" t="s">
        <v>29</v>
      </c>
      <c r="D362" s="2" t="s">
        <v>51</v>
      </c>
      <c r="E362" s="2" t="n">
        <v>2</v>
      </c>
      <c r="F362" s="3" t="n">
        <v>119.99</v>
      </c>
      <c r="G362" s="2" t="s">
        <v>39</v>
      </c>
      <c r="H362" s="3" t="n">
        <f aca="false">E362*F362</f>
        <v>239.98</v>
      </c>
      <c r="I362" s="2" t="str">
        <f aca="false">TEXT(A362,"MMM YYYY")</f>
        <v>Dec 2025</v>
      </c>
    </row>
    <row r="363" customFormat="false" ht="15" hidden="false" customHeight="false" outlineLevel="0" collapsed="false">
      <c r="A363" s="2" t="s">
        <v>255</v>
      </c>
      <c r="B363" s="2" t="s">
        <v>23</v>
      </c>
      <c r="C363" s="2" t="s">
        <v>11</v>
      </c>
      <c r="D363" s="2" t="s">
        <v>93</v>
      </c>
      <c r="E363" s="2" t="n">
        <v>12</v>
      </c>
      <c r="F363" s="3" t="n">
        <v>189.99</v>
      </c>
      <c r="G363" s="2" t="s">
        <v>18</v>
      </c>
      <c r="H363" s="3" t="n">
        <f aca="false">E363*F363</f>
        <v>2279.88</v>
      </c>
      <c r="I363" s="2" t="str">
        <f aca="false">TEXT(A363,"MMM YYYY")</f>
        <v>Dec 2025</v>
      </c>
    </row>
    <row r="364" customFormat="false" ht="15" hidden="false" customHeight="false" outlineLevel="0" collapsed="false">
      <c r="A364" s="2" t="s">
        <v>256</v>
      </c>
      <c r="B364" s="2" t="s">
        <v>10</v>
      </c>
      <c r="C364" s="2" t="s">
        <v>16</v>
      </c>
      <c r="D364" s="2" t="s">
        <v>64</v>
      </c>
      <c r="E364" s="2" t="n">
        <v>22</v>
      </c>
      <c r="F364" s="3" t="n">
        <v>79.99</v>
      </c>
      <c r="G364" s="2" t="s">
        <v>35</v>
      </c>
      <c r="H364" s="3" t="n">
        <f aca="false">E364*F364</f>
        <v>1759.78</v>
      </c>
      <c r="I364" s="2" t="str">
        <f aca="false">TEXT(A364,"MMM YYYY")</f>
        <v>Dec 2025</v>
      </c>
    </row>
    <row r="365" customFormat="false" ht="15" hidden="false" customHeight="false" outlineLevel="0" collapsed="false">
      <c r="A365" s="2" t="s">
        <v>257</v>
      </c>
      <c r="B365" s="2" t="s">
        <v>20</v>
      </c>
      <c r="C365" s="2" t="s">
        <v>11</v>
      </c>
      <c r="D365" s="2" t="s">
        <v>93</v>
      </c>
      <c r="E365" s="2" t="n">
        <v>17</v>
      </c>
      <c r="F365" s="3" t="n">
        <v>189.99</v>
      </c>
      <c r="G365" s="2" t="s">
        <v>39</v>
      </c>
      <c r="H365" s="3" t="n">
        <f aca="false">E365*F365</f>
        <v>3229.83</v>
      </c>
      <c r="I365" s="2" t="str">
        <f aca="false">TEXT(A365,"MMM YYYY")</f>
        <v>Dec 2025</v>
      </c>
    </row>
    <row r="366" customFormat="false" ht="15" hidden="false" customHeight="false" outlineLevel="0" collapsed="false">
      <c r="A366" s="2" t="s">
        <v>258</v>
      </c>
      <c r="B366" s="2" t="s">
        <v>15</v>
      </c>
      <c r="C366" s="2" t="s">
        <v>24</v>
      </c>
      <c r="D366" s="2" t="s">
        <v>27</v>
      </c>
      <c r="E366" s="2" t="n">
        <v>23</v>
      </c>
      <c r="F366" s="3" t="n">
        <v>4.99</v>
      </c>
      <c r="G366" s="2" t="s">
        <v>35</v>
      </c>
      <c r="H366" s="3" t="n">
        <f aca="false">E366*F366</f>
        <v>114.77</v>
      </c>
      <c r="I366" s="2" t="str">
        <f aca="false">TEXT(A366,"MMM YYYY")</f>
        <v>Dec 2025</v>
      </c>
    </row>
    <row r="367" customFormat="false" ht="15" hidden="false" customHeight="false" outlineLevel="0" collapsed="false">
      <c r="A367" s="2" t="s">
        <v>259</v>
      </c>
      <c r="B367" s="2" t="s">
        <v>15</v>
      </c>
      <c r="C367" s="2" t="s">
        <v>11</v>
      </c>
      <c r="D367" s="2" t="s">
        <v>38</v>
      </c>
      <c r="E367" s="2" t="n">
        <v>5</v>
      </c>
      <c r="F367" s="3" t="n">
        <v>99.99</v>
      </c>
      <c r="G367" s="2" t="s">
        <v>31</v>
      </c>
      <c r="H367" s="3" t="n">
        <f aca="false">E367*F367</f>
        <v>499.95</v>
      </c>
      <c r="I367" s="2" t="str">
        <f aca="false">TEXT(A367,"MMM YYYY")</f>
        <v>Dec 2025</v>
      </c>
    </row>
    <row r="368" customFormat="false" ht="15" hidden="false" customHeight="false" outlineLevel="0" collapsed="false">
      <c r="A368" s="2" t="s">
        <v>259</v>
      </c>
      <c r="B368" s="2" t="s">
        <v>23</v>
      </c>
      <c r="C368" s="2" t="s">
        <v>24</v>
      </c>
      <c r="D368" s="2" t="s">
        <v>34</v>
      </c>
      <c r="E368" s="2" t="n">
        <v>17</v>
      </c>
      <c r="F368" s="3" t="n">
        <v>6.99</v>
      </c>
      <c r="G368" s="2" t="s">
        <v>31</v>
      </c>
      <c r="H368" s="3" t="n">
        <f aca="false">E368*F368</f>
        <v>118.83</v>
      </c>
      <c r="I368" s="2" t="str">
        <f aca="false">TEXT(A368,"MMM YYYY")</f>
        <v>Dec 2025</v>
      </c>
    </row>
    <row r="369" customFormat="false" ht="15" hidden="false" customHeight="false" outlineLevel="0" collapsed="false">
      <c r="A369" s="2" t="s">
        <v>260</v>
      </c>
      <c r="B369" s="2" t="s">
        <v>10</v>
      </c>
      <c r="C369" s="2" t="s">
        <v>29</v>
      </c>
      <c r="D369" s="2" t="s">
        <v>56</v>
      </c>
      <c r="E369" s="2" t="n">
        <v>4</v>
      </c>
      <c r="F369" s="3" t="n">
        <v>149.99</v>
      </c>
      <c r="G369" s="2" t="s">
        <v>13</v>
      </c>
      <c r="H369" s="3" t="n">
        <f aca="false">E369*F369</f>
        <v>599.96</v>
      </c>
      <c r="I369" s="2" t="str">
        <f aca="false">TEXT(A369,"MMM YYYY")</f>
        <v>Dec 2025</v>
      </c>
    </row>
    <row r="370" customFormat="false" ht="15" hidden="false" customHeight="false" outlineLevel="0" collapsed="false">
      <c r="A370" s="2" t="s">
        <v>260</v>
      </c>
      <c r="B370" s="2" t="s">
        <v>15</v>
      </c>
      <c r="C370" s="2" t="s">
        <v>24</v>
      </c>
      <c r="D370" s="2" t="s">
        <v>34</v>
      </c>
      <c r="E370" s="2" t="n">
        <v>4</v>
      </c>
      <c r="F370" s="3" t="n">
        <v>6.99</v>
      </c>
      <c r="G370" s="2" t="s">
        <v>39</v>
      </c>
      <c r="H370" s="3" t="n">
        <f aca="false">E370*F370</f>
        <v>27.96</v>
      </c>
      <c r="I370" s="2" t="str">
        <f aca="false">TEXT(A370,"MMM YYYY")</f>
        <v>Dec 2025</v>
      </c>
    </row>
    <row r="371" customFormat="false" ht="15" hidden="false" customHeight="false" outlineLevel="0" collapsed="false">
      <c r="A371" s="2" t="s">
        <v>261</v>
      </c>
      <c r="B371" s="2" t="s">
        <v>20</v>
      </c>
      <c r="C371" s="2" t="s">
        <v>24</v>
      </c>
      <c r="D371" s="2" t="s">
        <v>27</v>
      </c>
      <c r="E371" s="2" t="n">
        <v>18</v>
      </c>
      <c r="F371" s="3" t="n">
        <v>4.99</v>
      </c>
      <c r="G371" s="2" t="s">
        <v>21</v>
      </c>
      <c r="H371" s="3" t="n">
        <f aca="false">E371*F371</f>
        <v>89.82</v>
      </c>
      <c r="I371" s="2" t="str">
        <f aca="false">TEXT(A371,"MMM YYYY")</f>
        <v>Dec 2025</v>
      </c>
    </row>
    <row r="372" customFormat="false" ht="15" hidden="false" customHeight="false" outlineLevel="0" collapsed="false">
      <c r="A372" s="2" t="s">
        <v>261</v>
      </c>
      <c r="B372" s="2" t="s">
        <v>15</v>
      </c>
      <c r="C372" s="2" t="s">
        <v>24</v>
      </c>
      <c r="D372" s="2" t="s">
        <v>34</v>
      </c>
      <c r="E372" s="2" t="n">
        <v>13</v>
      </c>
      <c r="F372" s="3" t="n">
        <v>6.99</v>
      </c>
      <c r="G372" s="2" t="s">
        <v>21</v>
      </c>
      <c r="H372" s="3" t="n">
        <f aca="false">E372*F372</f>
        <v>90.87</v>
      </c>
      <c r="I372" s="2" t="str">
        <f aca="false">TEXT(A372,"MMM YYYY")</f>
        <v>Dec 2025</v>
      </c>
    </row>
    <row r="373" customFormat="false" ht="15" hidden="false" customHeight="false" outlineLevel="0" collapsed="false">
      <c r="A373" s="2" t="s">
        <v>262</v>
      </c>
      <c r="B373" s="2" t="s">
        <v>15</v>
      </c>
      <c r="C373" s="2" t="s">
        <v>24</v>
      </c>
      <c r="D373" s="2" t="s">
        <v>34</v>
      </c>
      <c r="E373" s="2" t="n">
        <v>8</v>
      </c>
      <c r="F373" s="3" t="n">
        <v>6.99</v>
      </c>
      <c r="G373" s="2" t="s">
        <v>39</v>
      </c>
      <c r="H373" s="3" t="n">
        <f aca="false">E373*F373</f>
        <v>55.92</v>
      </c>
      <c r="I373" s="2" t="str">
        <f aca="false">TEXT(A373,"MMM YYYY")</f>
        <v>Dec 2025</v>
      </c>
    </row>
    <row r="374" customFormat="false" ht="15" hidden="false" customHeight="false" outlineLevel="0" collapsed="false">
      <c r="A374" s="2" t="s">
        <v>262</v>
      </c>
      <c r="B374" s="2" t="s">
        <v>20</v>
      </c>
      <c r="C374" s="2" t="s">
        <v>16</v>
      </c>
      <c r="D374" s="2" t="s">
        <v>64</v>
      </c>
      <c r="E374" s="2" t="n">
        <v>20</v>
      </c>
      <c r="F374" s="3" t="n">
        <v>79.99</v>
      </c>
      <c r="G374" s="2" t="s">
        <v>13</v>
      </c>
      <c r="H374" s="3" t="n">
        <f aca="false">E374*F374</f>
        <v>1599.8</v>
      </c>
      <c r="I374" s="2" t="str">
        <f aca="false">TEXT(A374,"MMM YYYY")</f>
        <v>Dec 2025</v>
      </c>
    </row>
    <row r="375" customFormat="false" ht="15" hidden="false" customHeight="false" outlineLevel="0" collapsed="false">
      <c r="A375" s="2" t="s">
        <v>262</v>
      </c>
      <c r="B375" s="2" t="s">
        <v>15</v>
      </c>
      <c r="C375" s="2" t="s">
        <v>24</v>
      </c>
      <c r="D375" s="2" t="s">
        <v>40</v>
      </c>
      <c r="E375" s="2" t="n">
        <v>15</v>
      </c>
      <c r="F375" s="3" t="n">
        <v>12.99</v>
      </c>
      <c r="G375" s="2" t="s">
        <v>21</v>
      </c>
      <c r="H375" s="3" t="n">
        <f aca="false">E375*F375</f>
        <v>194.85</v>
      </c>
      <c r="I375" s="2" t="str">
        <f aca="false">TEXT(A375,"MMM YYYY")</f>
        <v>Dec 2025</v>
      </c>
    </row>
    <row r="376" customFormat="false" ht="15" hidden="false" customHeight="false" outlineLevel="0" collapsed="false">
      <c r="A376" s="2" t="s">
        <v>263</v>
      </c>
      <c r="B376" s="2" t="s">
        <v>20</v>
      </c>
      <c r="C376" s="2" t="s">
        <v>16</v>
      </c>
      <c r="D376" s="2" t="s">
        <v>42</v>
      </c>
      <c r="E376" s="2" t="n">
        <v>25</v>
      </c>
      <c r="F376" s="3" t="n">
        <v>649.99</v>
      </c>
      <c r="G376" s="2" t="s">
        <v>31</v>
      </c>
      <c r="H376" s="3" t="n">
        <f aca="false">E376*F376</f>
        <v>16249.75</v>
      </c>
      <c r="I376" s="2" t="str">
        <f aca="false">TEXT(A376,"MMM YYYY")</f>
        <v>Dec 2025</v>
      </c>
    </row>
    <row r="377" customFormat="false" ht="15" hidden="false" customHeight="false" outlineLevel="0" collapsed="false">
      <c r="A377" s="2" t="s">
        <v>264</v>
      </c>
      <c r="B377" s="2" t="s">
        <v>15</v>
      </c>
      <c r="C377" s="2" t="s">
        <v>29</v>
      </c>
      <c r="D377" s="2" t="s">
        <v>30</v>
      </c>
      <c r="E377" s="2" t="n">
        <v>5</v>
      </c>
      <c r="F377" s="3" t="n">
        <v>59.99</v>
      </c>
      <c r="G377" s="2" t="s">
        <v>21</v>
      </c>
      <c r="H377" s="3" t="n">
        <f aca="false">E377*F377</f>
        <v>299.95</v>
      </c>
      <c r="I377" s="2" t="str">
        <f aca="false">TEXT(A377,"MMM YYYY")</f>
        <v>Dec 2025</v>
      </c>
    </row>
    <row r="378" customFormat="false" ht="15" hidden="false" customHeight="false" outlineLevel="0" collapsed="false">
      <c r="A378" s="2" t="s">
        <v>264</v>
      </c>
      <c r="B378" s="2" t="s">
        <v>15</v>
      </c>
      <c r="C378" s="2" t="s">
        <v>24</v>
      </c>
      <c r="D378" s="2" t="s">
        <v>27</v>
      </c>
      <c r="E378" s="2" t="n">
        <v>3</v>
      </c>
      <c r="F378" s="3" t="n">
        <v>4.99</v>
      </c>
      <c r="G378" s="2" t="s">
        <v>13</v>
      </c>
      <c r="H378" s="3" t="n">
        <f aca="false">E378*F378</f>
        <v>14.97</v>
      </c>
      <c r="I378" s="2" t="str">
        <f aca="false">TEXT(A378,"MMM YYYY")</f>
        <v>Dec 2025</v>
      </c>
    </row>
    <row r="379" customFormat="false" ht="15" hidden="false" customHeight="false" outlineLevel="0" collapsed="false">
      <c r="A379" s="2" t="s">
        <v>265</v>
      </c>
      <c r="B379" s="2" t="s">
        <v>10</v>
      </c>
      <c r="C379" s="2" t="s">
        <v>24</v>
      </c>
      <c r="D379" s="2" t="s">
        <v>34</v>
      </c>
      <c r="E379" s="2" t="n">
        <v>13</v>
      </c>
      <c r="F379" s="3" t="n">
        <v>6.99</v>
      </c>
      <c r="G379" s="2" t="s">
        <v>35</v>
      </c>
      <c r="H379" s="3" t="n">
        <f aca="false">E379*F379</f>
        <v>90.87</v>
      </c>
      <c r="I379" s="2" t="str">
        <f aca="false">TEXT(A379,"MMM YYYY")</f>
        <v>Dec 2025</v>
      </c>
    </row>
    <row r="380" customFormat="false" ht="15" hidden="false" customHeight="false" outlineLevel="0" collapsed="false">
      <c r="A380" s="2" t="s">
        <v>265</v>
      </c>
      <c r="B380" s="2" t="s">
        <v>15</v>
      </c>
      <c r="C380" s="2" t="s">
        <v>16</v>
      </c>
      <c r="D380" s="2" t="s">
        <v>17</v>
      </c>
      <c r="E380" s="2" t="n">
        <v>3</v>
      </c>
      <c r="F380" s="3" t="n">
        <v>899.99</v>
      </c>
      <c r="G380" s="2" t="s">
        <v>21</v>
      </c>
      <c r="H380" s="3" t="n">
        <f aca="false">E380*F380</f>
        <v>2699.97</v>
      </c>
      <c r="I380" s="2" t="str">
        <f aca="false">TEXT(A380,"MMM YYYY")</f>
        <v>Dec 2025</v>
      </c>
    </row>
    <row r="381" customFormat="false" ht="15" hidden="false" customHeight="false" outlineLevel="0" collapsed="false">
      <c r="A381" s="2" t="s">
        <v>265</v>
      </c>
      <c r="B381" s="2" t="s">
        <v>10</v>
      </c>
      <c r="C381" s="2" t="s">
        <v>16</v>
      </c>
      <c r="D381" s="2" t="s">
        <v>42</v>
      </c>
      <c r="E381" s="2" t="n">
        <v>12</v>
      </c>
      <c r="F381" s="3" t="n">
        <v>649.99</v>
      </c>
      <c r="G381" s="2" t="s">
        <v>31</v>
      </c>
      <c r="H381" s="3" t="n">
        <f aca="false">E381*F381</f>
        <v>7799.88</v>
      </c>
      <c r="I381" s="2" t="str">
        <f aca="false">TEXT(A381,"MMM YYYY")</f>
        <v>Dec 2025</v>
      </c>
    </row>
    <row r="382" customFormat="false" ht="15" hidden="false" customHeight="false" outlineLevel="0" collapsed="false">
      <c r="A382" s="2" t="s">
        <v>266</v>
      </c>
      <c r="B382" s="2" t="s">
        <v>10</v>
      </c>
      <c r="C382" s="2" t="s">
        <v>29</v>
      </c>
      <c r="D382" s="2" t="s">
        <v>56</v>
      </c>
      <c r="E382" s="2" t="n">
        <v>17</v>
      </c>
      <c r="F382" s="3" t="n">
        <v>149.99</v>
      </c>
      <c r="G382" s="2" t="s">
        <v>31</v>
      </c>
      <c r="H382" s="3" t="n">
        <f aca="false">E382*F382</f>
        <v>2549.83</v>
      </c>
      <c r="I382" s="2" t="str">
        <f aca="false">TEXT(A382,"MMM YYYY")</f>
        <v>Dec 2025</v>
      </c>
    </row>
    <row r="383" customFormat="false" ht="15" hidden="false" customHeight="false" outlineLevel="0" collapsed="false">
      <c r="A383" s="2" t="s">
        <v>266</v>
      </c>
      <c r="B383" s="2" t="s">
        <v>23</v>
      </c>
      <c r="C383" s="2" t="s">
        <v>29</v>
      </c>
      <c r="D383" s="2" t="s">
        <v>56</v>
      </c>
      <c r="E383" s="2" t="n">
        <v>21</v>
      </c>
      <c r="F383" s="3" t="n">
        <v>149.99</v>
      </c>
      <c r="G383" s="2" t="s">
        <v>31</v>
      </c>
      <c r="H383" s="3" t="n">
        <f aca="false">E383*F383</f>
        <v>3149.79</v>
      </c>
      <c r="I383" s="2" t="str">
        <f aca="false">TEXT(A383,"MMM YYYY")</f>
        <v>Dec 2025</v>
      </c>
    </row>
    <row r="384" customFormat="false" ht="15" hidden="false" customHeight="false" outlineLevel="0" collapsed="false">
      <c r="A384" s="2" t="s">
        <v>267</v>
      </c>
      <c r="B384" s="2" t="s">
        <v>10</v>
      </c>
      <c r="C384" s="2" t="s">
        <v>16</v>
      </c>
      <c r="D384" s="2" t="s">
        <v>45</v>
      </c>
      <c r="E384" s="2" t="n">
        <v>4</v>
      </c>
      <c r="F384" s="3" t="n">
        <v>349.99</v>
      </c>
      <c r="G384" s="2" t="s">
        <v>18</v>
      </c>
      <c r="H384" s="3" t="n">
        <f aca="false">E384*F384</f>
        <v>1399.96</v>
      </c>
      <c r="I384" s="2" t="str">
        <f aca="false">TEXT(A384,"MMM YYYY")</f>
        <v>Dec 2025</v>
      </c>
    </row>
    <row r="385" customFormat="false" ht="15" hidden="false" customHeight="false" outlineLevel="0" collapsed="false">
      <c r="A385" s="2" t="s">
        <v>268</v>
      </c>
      <c r="B385" s="2" t="s">
        <v>15</v>
      </c>
      <c r="C385" s="2" t="s">
        <v>24</v>
      </c>
      <c r="D385" s="2" t="s">
        <v>40</v>
      </c>
      <c r="E385" s="2" t="n">
        <v>3</v>
      </c>
      <c r="F385" s="3" t="n">
        <v>12.99</v>
      </c>
      <c r="G385" s="2" t="s">
        <v>13</v>
      </c>
      <c r="H385" s="3" t="n">
        <f aca="false">E385*F385</f>
        <v>38.97</v>
      </c>
      <c r="I385" s="2" t="str">
        <f aca="false">TEXT(A385,"MMM YYYY")</f>
        <v>Dec 2025</v>
      </c>
    </row>
    <row r="386" customFormat="false" ht="15" hidden="false" customHeight="false" outlineLevel="0" collapsed="false">
      <c r="A386" s="2" t="s">
        <v>269</v>
      </c>
      <c r="B386" s="2" t="s">
        <v>15</v>
      </c>
      <c r="C386" s="2" t="s">
        <v>24</v>
      </c>
      <c r="D386" s="2" t="s">
        <v>27</v>
      </c>
      <c r="E386" s="2" t="n">
        <v>25</v>
      </c>
      <c r="F386" s="3" t="n">
        <v>4.99</v>
      </c>
      <c r="G386" s="2" t="s">
        <v>31</v>
      </c>
      <c r="H386" s="3" t="n">
        <f aca="false">E386*F386</f>
        <v>124.75</v>
      </c>
      <c r="I386" s="2" t="str">
        <f aca="false">TEXT(A386,"MMM YYYY")</f>
        <v>Dec 2025</v>
      </c>
    </row>
    <row r="387" customFormat="false" ht="15" hidden="false" customHeight="false" outlineLevel="0" collapsed="false">
      <c r="A387" s="2" t="s">
        <v>270</v>
      </c>
      <c r="B387" s="2" t="s">
        <v>15</v>
      </c>
      <c r="C387" s="2" t="s">
        <v>16</v>
      </c>
      <c r="D387" s="2" t="s">
        <v>71</v>
      </c>
      <c r="E387" s="2" t="n">
        <v>8</v>
      </c>
      <c r="F387" s="3" t="n">
        <v>229.99</v>
      </c>
      <c r="G387" s="2" t="s">
        <v>21</v>
      </c>
      <c r="H387" s="3" t="n">
        <f aca="false">E387*F387</f>
        <v>1839.92</v>
      </c>
      <c r="I387" s="2" t="str">
        <f aca="false">TEXT(A387,"MMM YYYY")</f>
        <v>Dec 2025</v>
      </c>
    </row>
    <row r="388" customFormat="false" ht="15" hidden="false" customHeight="false" outlineLevel="0" collapsed="false">
      <c r="A388" s="2" t="s">
        <v>270</v>
      </c>
      <c r="B388" s="2" t="s">
        <v>15</v>
      </c>
      <c r="C388" s="2" t="s">
        <v>11</v>
      </c>
      <c r="D388" s="2" t="s">
        <v>38</v>
      </c>
      <c r="E388" s="2" t="n">
        <v>21</v>
      </c>
      <c r="F388" s="3" t="n">
        <v>99.99</v>
      </c>
      <c r="G388" s="2" t="s">
        <v>21</v>
      </c>
      <c r="H388" s="3" t="n">
        <f aca="false">E388*F388</f>
        <v>2099.79</v>
      </c>
      <c r="I388" s="2" t="str">
        <f aca="false">TEXT(A388,"MMM YYYY")</f>
        <v>Dec 2025</v>
      </c>
    </row>
    <row r="389" customFormat="false" ht="15" hidden="false" customHeight="false" outlineLevel="0" collapsed="false">
      <c r="A389" s="2" t="s">
        <v>270</v>
      </c>
      <c r="B389" s="2" t="s">
        <v>20</v>
      </c>
      <c r="C389" s="2" t="s">
        <v>29</v>
      </c>
      <c r="D389" s="2" t="s">
        <v>32</v>
      </c>
      <c r="E389" s="2" t="n">
        <v>20</v>
      </c>
      <c r="F389" s="3" t="n">
        <v>34.99</v>
      </c>
      <c r="G389" s="2" t="s">
        <v>21</v>
      </c>
      <c r="H389" s="3" t="n">
        <f aca="false">E389*F389</f>
        <v>699.8</v>
      </c>
      <c r="I389" s="2" t="str">
        <f aca="false">TEXT(A389,"MMM YYYY")</f>
        <v>Dec 2025</v>
      </c>
    </row>
    <row r="390" customFormat="false" ht="15" hidden="false" customHeight="false" outlineLevel="0" collapsed="false">
      <c r="A390" s="2" t="s">
        <v>271</v>
      </c>
      <c r="B390" s="2" t="s">
        <v>20</v>
      </c>
      <c r="C390" s="2" t="s">
        <v>29</v>
      </c>
      <c r="D390" s="2" t="s">
        <v>51</v>
      </c>
      <c r="E390" s="2" t="n">
        <v>1</v>
      </c>
      <c r="F390" s="3" t="n">
        <v>119.99</v>
      </c>
      <c r="G390" s="2" t="s">
        <v>31</v>
      </c>
      <c r="H390" s="3" t="n">
        <f aca="false">E390*F390</f>
        <v>119.99</v>
      </c>
      <c r="I390" s="2" t="str">
        <f aca="false">TEXT(A390,"MMM YYYY")</f>
        <v>Dec 2025</v>
      </c>
    </row>
    <row r="391" customFormat="false" ht="15" hidden="false" customHeight="false" outlineLevel="0" collapsed="false">
      <c r="A391" s="2" t="s">
        <v>271</v>
      </c>
      <c r="B391" s="2" t="s">
        <v>15</v>
      </c>
      <c r="C391" s="2" t="s">
        <v>16</v>
      </c>
      <c r="D391" s="2" t="s">
        <v>17</v>
      </c>
      <c r="E391" s="2" t="n">
        <v>21</v>
      </c>
      <c r="F391" s="3" t="n">
        <v>899.99</v>
      </c>
      <c r="G391" s="2" t="s">
        <v>31</v>
      </c>
      <c r="H391" s="3" t="n">
        <f aca="false">E391*F391</f>
        <v>18899.79</v>
      </c>
      <c r="I391" s="2" t="str">
        <f aca="false">TEXT(A391,"MMM YYYY")</f>
        <v>Dec 2025</v>
      </c>
    </row>
    <row r="392" customFormat="false" ht="15" hidden="false" customHeight="false" outlineLevel="0" collapsed="false">
      <c r="A392" s="2" t="s">
        <v>271</v>
      </c>
      <c r="B392" s="2" t="s">
        <v>20</v>
      </c>
      <c r="C392" s="2" t="s">
        <v>29</v>
      </c>
      <c r="D392" s="2" t="s">
        <v>30</v>
      </c>
      <c r="E392" s="2" t="n">
        <v>25</v>
      </c>
      <c r="F392" s="3" t="n">
        <v>59.99</v>
      </c>
      <c r="G392" s="2" t="s">
        <v>39</v>
      </c>
      <c r="H392" s="3" t="n">
        <f aca="false">E392*F392</f>
        <v>1499.75</v>
      </c>
      <c r="I392" s="2" t="str">
        <f aca="false">TEXT(A392,"MMM YYYY")</f>
        <v>Dec 2025</v>
      </c>
    </row>
    <row r="393" customFormat="false" ht="15" hidden="false" customHeight="false" outlineLevel="0" collapsed="false">
      <c r="A393" s="2" t="s">
        <v>272</v>
      </c>
      <c r="B393" s="2" t="s">
        <v>20</v>
      </c>
      <c r="C393" s="2" t="s">
        <v>24</v>
      </c>
      <c r="D393" s="2" t="s">
        <v>25</v>
      </c>
      <c r="E393" s="2" t="n">
        <v>4</v>
      </c>
      <c r="F393" s="3" t="n">
        <v>8.99</v>
      </c>
      <c r="G393" s="2" t="s">
        <v>18</v>
      </c>
      <c r="H393" s="3" t="n">
        <f aca="false">E393*F393</f>
        <v>35.96</v>
      </c>
      <c r="I393" s="2" t="str">
        <f aca="false">TEXT(A393,"MMM YYYY")</f>
        <v>Dec 2025</v>
      </c>
    </row>
    <row r="394" customFormat="false" ht="15" hidden="false" customHeight="false" outlineLevel="0" collapsed="false">
      <c r="A394" s="2" t="s">
        <v>272</v>
      </c>
      <c r="B394" s="2" t="s">
        <v>23</v>
      </c>
      <c r="C394" s="2" t="s">
        <v>11</v>
      </c>
      <c r="D394" s="2" t="s">
        <v>93</v>
      </c>
      <c r="E394" s="2" t="n">
        <v>15</v>
      </c>
      <c r="F394" s="3" t="n">
        <v>189.99</v>
      </c>
      <c r="G394" s="2" t="s">
        <v>35</v>
      </c>
      <c r="H394" s="3" t="n">
        <f aca="false">E394*F394</f>
        <v>2849.85</v>
      </c>
      <c r="I394" s="2" t="str">
        <f aca="false">TEXT(A394,"MMM YYYY")</f>
        <v>Dec 2025</v>
      </c>
    </row>
    <row r="395" customFormat="false" ht="15" hidden="false" customHeight="false" outlineLevel="0" collapsed="false">
      <c r="A395" s="2" t="s">
        <v>273</v>
      </c>
      <c r="B395" s="2" t="s">
        <v>10</v>
      </c>
      <c r="C395" s="2" t="s">
        <v>24</v>
      </c>
      <c r="D395" s="2" t="s">
        <v>40</v>
      </c>
      <c r="E395" s="2" t="n">
        <v>1</v>
      </c>
      <c r="F395" s="3" t="n">
        <v>12.99</v>
      </c>
      <c r="G395" s="2" t="s">
        <v>18</v>
      </c>
      <c r="H395" s="3" t="n">
        <f aca="false">E395*F395</f>
        <v>12.99</v>
      </c>
      <c r="I395" s="2" t="str">
        <f aca="false">TEXT(A395,"MMM YYYY")</f>
        <v>Dec 2025</v>
      </c>
    </row>
    <row r="396" customFormat="false" ht="15" hidden="false" customHeight="false" outlineLevel="0" collapsed="false">
      <c r="A396" s="2" t="s">
        <v>274</v>
      </c>
      <c r="B396" s="2" t="s">
        <v>23</v>
      </c>
      <c r="C396" s="2" t="s">
        <v>29</v>
      </c>
      <c r="D396" s="2" t="s">
        <v>30</v>
      </c>
      <c r="E396" s="2" t="n">
        <v>23</v>
      </c>
      <c r="F396" s="3" t="n">
        <v>59.99</v>
      </c>
      <c r="G396" s="2" t="s">
        <v>35</v>
      </c>
      <c r="H396" s="3" t="n">
        <f aca="false">E396*F396</f>
        <v>1379.77</v>
      </c>
      <c r="I396" s="2" t="str">
        <f aca="false">TEXT(A396,"MMM YYYY")</f>
        <v>Dec 2025</v>
      </c>
    </row>
    <row r="397" customFormat="false" ht="15" hidden="false" customHeight="false" outlineLevel="0" collapsed="false">
      <c r="A397" s="2" t="s">
        <v>274</v>
      </c>
      <c r="B397" s="2" t="s">
        <v>20</v>
      </c>
      <c r="C397" s="2" t="s">
        <v>24</v>
      </c>
      <c r="D397" s="2" t="s">
        <v>34</v>
      </c>
      <c r="E397" s="2" t="n">
        <v>13</v>
      </c>
      <c r="F397" s="3" t="n">
        <v>6.99</v>
      </c>
      <c r="G397" s="2" t="s">
        <v>13</v>
      </c>
      <c r="H397" s="3" t="n">
        <f aca="false">E397*F397</f>
        <v>90.87</v>
      </c>
      <c r="I397" s="2" t="str">
        <f aca="false">TEXT(A397,"MMM YYYY")</f>
        <v>Dec 2025</v>
      </c>
    </row>
    <row r="398" customFormat="false" ht="15" hidden="false" customHeight="false" outlineLevel="0" collapsed="false">
      <c r="A398" s="2" t="s">
        <v>274</v>
      </c>
      <c r="B398" s="2" t="s">
        <v>15</v>
      </c>
      <c r="C398" s="2" t="s">
        <v>11</v>
      </c>
      <c r="D398" s="2" t="s">
        <v>12</v>
      </c>
      <c r="E398" s="2" t="n">
        <v>23</v>
      </c>
      <c r="F398" s="3" t="n">
        <v>129.99</v>
      </c>
      <c r="G398" s="2" t="s">
        <v>39</v>
      </c>
      <c r="H398" s="3" t="n">
        <f aca="false">E398*F398</f>
        <v>2989.77</v>
      </c>
      <c r="I398" s="2" t="str">
        <f aca="false">TEXT(A398,"MMM YYYY")</f>
        <v>Dec 2025</v>
      </c>
    </row>
    <row r="399" customFormat="false" ht="15" hidden="false" customHeight="false" outlineLevel="0" collapsed="false">
      <c r="A399" s="2" t="s">
        <v>275</v>
      </c>
      <c r="B399" s="2" t="s">
        <v>23</v>
      </c>
      <c r="C399" s="2" t="s">
        <v>24</v>
      </c>
      <c r="D399" s="2" t="s">
        <v>27</v>
      </c>
      <c r="E399" s="2" t="n">
        <v>21</v>
      </c>
      <c r="F399" s="3" t="n">
        <v>4.99</v>
      </c>
      <c r="G399" s="2" t="s">
        <v>35</v>
      </c>
      <c r="H399" s="3" t="n">
        <f aca="false">E399*F399</f>
        <v>104.79</v>
      </c>
      <c r="I399" s="2" t="str">
        <f aca="false">TEXT(A399,"MMM YYYY")</f>
        <v>Dec 2025</v>
      </c>
    </row>
    <row r="400" customFormat="false" ht="15" hidden="false" customHeight="false" outlineLevel="0" collapsed="false">
      <c r="A400" s="2" t="s">
        <v>276</v>
      </c>
      <c r="B400" s="2" t="s">
        <v>20</v>
      </c>
      <c r="C400" s="2" t="s">
        <v>24</v>
      </c>
      <c r="D400" s="2" t="s">
        <v>40</v>
      </c>
      <c r="E400" s="2" t="n">
        <v>3</v>
      </c>
      <c r="F400" s="3" t="n">
        <v>12.99</v>
      </c>
      <c r="G400" s="2" t="s">
        <v>35</v>
      </c>
      <c r="H400" s="3" t="n">
        <f aca="false">E400*F400</f>
        <v>38.97</v>
      </c>
      <c r="I400" s="2" t="str">
        <f aca="false">TEXT(A400,"MMM YYYY")</f>
        <v>Dec 2025</v>
      </c>
    </row>
    <row r="401" customFormat="false" ht="15" hidden="false" customHeight="false" outlineLevel="0" collapsed="false">
      <c r="A401" s="2" t="s">
        <v>277</v>
      </c>
      <c r="B401" s="2" t="s">
        <v>23</v>
      </c>
      <c r="C401" s="2" t="s">
        <v>24</v>
      </c>
      <c r="D401" s="2" t="s">
        <v>34</v>
      </c>
      <c r="E401" s="2" t="n">
        <v>25</v>
      </c>
      <c r="F401" s="3" t="n">
        <v>6.99</v>
      </c>
      <c r="G401" s="2" t="s">
        <v>18</v>
      </c>
      <c r="H401" s="3" t="n">
        <f aca="false">E401*F401</f>
        <v>174.75</v>
      </c>
      <c r="I401" s="2" t="str">
        <f aca="false">TEXT(A401,"MMM YYYY")</f>
        <v>Dec 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2" style="0" width="14"/>
    <col collapsed="false" customWidth="true" hidden="false" outlineLevel="0" max="19" min="18" style="0" width="12"/>
  </cols>
  <sheetData>
    <row r="2" customFormat="false" ht="19.7" hidden="false" customHeight="false" outlineLevel="0" collapsed="false">
      <c r="B2" s="4" t="s">
        <v>278</v>
      </c>
    </row>
    <row r="3" customFormat="false" ht="15" hidden="false" customHeight="false" outlineLevel="0" collapsed="false">
      <c r="B3" s="5" t="s">
        <v>279</v>
      </c>
    </row>
    <row r="5" customFormat="false" ht="15" hidden="false" customHeight="false" outlineLevel="0" collapsed="false">
      <c r="B5" s="6" t="s">
        <v>280</v>
      </c>
      <c r="C5" s="6"/>
      <c r="E5" s="6" t="s">
        <v>281</v>
      </c>
      <c r="F5" s="6"/>
      <c r="H5" s="6" t="s">
        <v>282</v>
      </c>
      <c r="I5" s="6"/>
      <c r="K5" s="6" t="s">
        <v>283</v>
      </c>
      <c r="L5" s="6"/>
    </row>
    <row r="6" customFormat="false" ht="24.45" hidden="false" customHeight="false" outlineLevel="0" collapsed="false">
      <c r="B6" s="7" t="n">
        <f aca="false">Analysis!B10</f>
        <v>975473.63</v>
      </c>
      <c r="C6" s="7"/>
      <c r="E6" s="8" t="n">
        <f aca="false">SUM('Raw Data'!E2:E401)</f>
        <v>5337</v>
      </c>
      <c r="F6" s="8"/>
      <c r="H6" s="9" t="n">
        <f aca="false">Analysis!B10/COUNTA('Raw Data'!A2:A401)</f>
        <v>2438.684075</v>
      </c>
      <c r="I6" s="9"/>
      <c r="K6" s="8" t="n">
        <f aca="false">COUNTA('Raw Data'!A2:A401)</f>
        <v>400</v>
      </c>
      <c r="L6" s="8"/>
    </row>
    <row r="7" customFormat="false" ht="9.75" hidden="false" customHeight="true" outlineLevel="0" collapsed="false"/>
    <row r="26" customFormat="false" ht="15" hidden="false" customHeight="false" outlineLevel="0" collapsed="false">
      <c r="R26" s="5" t="s">
        <v>284</v>
      </c>
    </row>
    <row r="27" customFormat="false" ht="15" hidden="false" customHeight="false" outlineLevel="0" collapsed="false">
      <c r="R27" s="10" t="s">
        <v>8</v>
      </c>
      <c r="S27" s="10" t="s">
        <v>285</v>
      </c>
    </row>
    <row r="28" customFormat="false" ht="15" hidden="false" customHeight="false" outlineLevel="0" collapsed="false">
      <c r="R28" s="0" t="s">
        <v>286</v>
      </c>
      <c r="S28" s="11" t="n">
        <f aca="false">SUMIFS('Raw Data'!$H$2:$H$401,'Raw Data'!$I$2:$I$401,R28)</f>
        <v>48231.94</v>
      </c>
    </row>
    <row r="29" customFormat="false" ht="15" hidden="false" customHeight="false" outlineLevel="0" collapsed="false">
      <c r="R29" s="0" t="s">
        <v>287</v>
      </c>
      <c r="S29" s="11" t="n">
        <f aca="false">SUMIFS('Raw Data'!$H$2:$H$401,'Raw Data'!$I$2:$I$401,R29)</f>
        <v>72361</v>
      </c>
    </row>
    <row r="30" customFormat="false" ht="15" hidden="false" customHeight="false" outlineLevel="0" collapsed="false">
      <c r="R30" s="0" t="s">
        <v>288</v>
      </c>
      <c r="S30" s="11" t="n">
        <f aca="false">SUMIFS('Raw Data'!$H$2:$H$401,'Raw Data'!$I$2:$I$401,R30)</f>
        <v>93795.82</v>
      </c>
    </row>
    <row r="31" customFormat="false" ht="15" hidden="false" customHeight="false" outlineLevel="0" collapsed="false">
      <c r="R31" s="0" t="s">
        <v>289</v>
      </c>
      <c r="S31" s="11" t="n">
        <f aca="false">SUMIFS('Raw Data'!$H$2:$H$401,'Raw Data'!$I$2:$I$401,R31)</f>
        <v>67399.95</v>
      </c>
    </row>
    <row r="32" customFormat="false" ht="15" hidden="false" customHeight="false" outlineLevel="0" collapsed="false">
      <c r="R32" s="0" t="s">
        <v>290</v>
      </c>
      <c r="S32" s="11" t="n">
        <f aca="false">SUMIFS('Raw Data'!$H$2:$H$401,'Raw Data'!$I$2:$I$401,R32)</f>
        <v>76438.84</v>
      </c>
    </row>
    <row r="33" customFormat="false" ht="15" hidden="false" customHeight="false" outlineLevel="0" collapsed="false">
      <c r="R33" s="0" t="s">
        <v>291</v>
      </c>
      <c r="S33" s="11" t="n">
        <f aca="false">SUMIFS('Raw Data'!$H$2:$H$401,'Raw Data'!$I$2:$I$401,R33)</f>
        <v>162803.19</v>
      </c>
    </row>
    <row r="34" customFormat="false" ht="15" hidden="false" customHeight="false" outlineLevel="0" collapsed="false">
      <c r="R34" s="0" t="s">
        <v>292</v>
      </c>
      <c r="S34" s="11" t="n">
        <f aca="false">SUMIFS('Raw Data'!$H$2:$H$401,'Raw Data'!$I$2:$I$401,R34)</f>
        <v>88930.64</v>
      </c>
    </row>
    <row r="35" customFormat="false" ht="15" hidden="false" customHeight="false" outlineLevel="0" collapsed="false">
      <c r="R35" s="0" t="s">
        <v>293</v>
      </c>
      <c r="S35" s="11" t="n">
        <f aca="false">SUMIFS('Raw Data'!$H$2:$H$401,'Raw Data'!$I$2:$I$401,R35)</f>
        <v>68020.04</v>
      </c>
    </row>
    <row r="36" customFormat="false" ht="15" hidden="false" customHeight="false" outlineLevel="0" collapsed="false">
      <c r="R36" s="0" t="s">
        <v>294</v>
      </c>
      <c r="S36" s="11" t="n">
        <f aca="false">SUMIFS('Raw Data'!$H$2:$H$401,'Raw Data'!$I$2:$I$401,R36)</f>
        <v>44523.3</v>
      </c>
    </row>
    <row r="37" customFormat="false" ht="15" hidden="false" customHeight="false" outlineLevel="0" collapsed="false">
      <c r="R37" s="0" t="s">
        <v>295</v>
      </c>
      <c r="S37" s="11" t="n">
        <f aca="false">SUMIFS('Raw Data'!$H$2:$H$401,'Raw Data'!$I$2:$I$401,R37)</f>
        <v>66537.19</v>
      </c>
    </row>
    <row r="38" customFormat="false" ht="15" hidden="false" customHeight="false" outlineLevel="0" collapsed="false">
      <c r="R38" s="0" t="s">
        <v>296</v>
      </c>
      <c r="S38" s="11" t="n">
        <f aca="false">SUMIFS('Raw Data'!$H$2:$H$401,'Raw Data'!$I$2:$I$401,R38)</f>
        <v>104445.49</v>
      </c>
    </row>
    <row r="39" customFormat="false" ht="15" hidden="false" customHeight="false" outlineLevel="0" collapsed="false">
      <c r="R39" s="0" t="s">
        <v>297</v>
      </c>
      <c r="S39" s="11" t="n">
        <f aca="false">SUMIFS('Raw Data'!$H$2:$H$401,'Raw Data'!$I$2:$I$401,R39)</f>
        <v>81986.23</v>
      </c>
    </row>
  </sheetData>
  <mergeCells count="8">
    <mergeCell ref="B5:C5"/>
    <mergeCell ref="E5:F5"/>
    <mergeCell ref="H5:I5"/>
    <mergeCell ref="K5:L5"/>
    <mergeCell ref="B6:C6"/>
    <mergeCell ref="E6:F6"/>
    <mergeCell ref="H6:I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8"/>
  </cols>
  <sheetData>
    <row r="1" customFormat="false" ht="19.7" hidden="false" customHeight="false" outlineLevel="0" collapsed="false">
      <c r="A1" s="12" t="s">
        <v>298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299</v>
      </c>
      <c r="B2" s="13"/>
      <c r="C2" s="13"/>
      <c r="D2" s="13"/>
      <c r="E2" s="13"/>
      <c r="F2" s="13"/>
    </row>
    <row r="4" customFormat="false" ht="15" hidden="false" customHeight="false" outlineLevel="0" collapsed="false">
      <c r="A4" s="14" t="s">
        <v>300</v>
      </c>
    </row>
    <row r="5" customFormat="false" ht="15" hidden="false" customHeight="false" outlineLevel="0" collapsed="false">
      <c r="A5" s="10" t="s">
        <v>1</v>
      </c>
      <c r="B5" s="10" t="s">
        <v>7</v>
      </c>
      <c r="C5" s="10" t="s">
        <v>4</v>
      </c>
      <c r="D5" s="10" t="s">
        <v>282</v>
      </c>
    </row>
    <row r="6" customFormat="false" ht="15" hidden="false" customHeight="false" outlineLevel="0" collapsed="false">
      <c r="A6" s="0" t="s">
        <v>23</v>
      </c>
      <c r="B6" s="11" t="n">
        <f aca="false">SUMIFS('Raw Data'!$H$2:$H$401,'Raw Data'!$B$2:$B$401,A6)</f>
        <v>161544.09</v>
      </c>
      <c r="C6" s="15" t="n">
        <f aca="false">SUMIFS('Raw Data'!$E$2:$E$401,'Raw Data'!$B$2:$B$401,A6)</f>
        <v>1291</v>
      </c>
      <c r="D6" s="16" t="n">
        <f aca="false">IFERROR(B6/COUNTIFS('Raw Data'!$B$2:$B$401,A6),0)</f>
        <v>1682.7509375</v>
      </c>
    </row>
    <row r="7" customFormat="false" ht="15" hidden="false" customHeight="false" outlineLevel="0" collapsed="false">
      <c r="A7" s="0" t="s">
        <v>20</v>
      </c>
      <c r="B7" s="11" t="n">
        <f aca="false">SUMIFS('Raw Data'!$H$2:$H$401,'Raw Data'!$B$2:$B$401,A7)</f>
        <v>269035.51</v>
      </c>
      <c r="C7" s="15" t="n">
        <f aca="false">SUMIFS('Raw Data'!$E$2:$E$401,'Raw Data'!$B$2:$B$401,A7)</f>
        <v>1349</v>
      </c>
      <c r="D7" s="16" t="n">
        <f aca="false">IFERROR(B7/COUNTIFS('Raw Data'!$B$2:$B$401,A7),0)</f>
        <v>2663.71792079208</v>
      </c>
    </row>
    <row r="8" customFormat="false" ht="15" hidden="false" customHeight="false" outlineLevel="0" collapsed="false">
      <c r="A8" s="0" t="s">
        <v>10</v>
      </c>
      <c r="B8" s="11" t="n">
        <f aca="false">SUMIFS('Raw Data'!$H$2:$H$401,'Raw Data'!$B$2:$B$401,A8)</f>
        <v>266776.08</v>
      </c>
      <c r="C8" s="15" t="n">
        <f aca="false">SUMIFS('Raw Data'!$E$2:$E$401,'Raw Data'!$B$2:$B$401,A8)</f>
        <v>1392</v>
      </c>
      <c r="D8" s="16" t="n">
        <f aca="false">IFERROR(B8/COUNTIFS('Raw Data'!$B$2:$B$401,A8),0)</f>
        <v>2493.23439252336</v>
      </c>
    </row>
    <row r="9" customFormat="false" ht="15" hidden="false" customHeight="false" outlineLevel="0" collapsed="false">
      <c r="A9" s="0" t="s">
        <v>15</v>
      </c>
      <c r="B9" s="11" t="n">
        <f aca="false">SUMIFS('Raw Data'!$H$2:$H$401,'Raw Data'!$B$2:$B$401,A9)</f>
        <v>278117.95</v>
      </c>
      <c r="C9" s="15" t="n">
        <f aca="false">SUMIFS('Raw Data'!$E$2:$E$401,'Raw Data'!$B$2:$B$401,A9)</f>
        <v>1305</v>
      </c>
      <c r="D9" s="16" t="n">
        <f aca="false">IFERROR(B9/COUNTIFS('Raw Data'!$B$2:$B$401,A9),0)</f>
        <v>2897.06197916667</v>
      </c>
    </row>
    <row r="10" customFormat="false" ht="15" hidden="false" customHeight="false" outlineLevel="0" collapsed="false">
      <c r="A10" s="14" t="s">
        <v>301</v>
      </c>
      <c r="B10" s="17" t="n">
        <f aca="false">SUM(B6:B9)</f>
        <v>975473.63</v>
      </c>
    </row>
    <row r="12" customFormat="false" ht="15" hidden="false" customHeight="false" outlineLevel="0" collapsed="false">
      <c r="A12" s="14" t="s">
        <v>302</v>
      </c>
    </row>
    <row r="13" customFormat="false" ht="15" hidden="false" customHeight="false" outlineLevel="0" collapsed="false">
      <c r="A13" s="10" t="s">
        <v>2</v>
      </c>
      <c r="B13" s="10" t="s">
        <v>7</v>
      </c>
      <c r="C13" s="10" t="s">
        <v>4</v>
      </c>
      <c r="D13" s="10" t="s">
        <v>303</v>
      </c>
    </row>
    <row r="14" customFormat="false" ht="15" hidden="false" customHeight="false" outlineLevel="0" collapsed="false">
      <c r="A14" s="0" t="s">
        <v>16</v>
      </c>
      <c r="B14" s="11" t="n">
        <f aca="false">SUMIFS('Raw Data'!$H$2:$H$401,'Raw Data'!$C$2:$C$401,A14)</f>
        <v>598167.21</v>
      </c>
      <c r="C14" s="15" t="n">
        <f aca="false">SUMIFS('Raw Data'!$E$2:$E$401,'Raw Data'!$C$2:$C$401,A14)</f>
        <v>1279</v>
      </c>
      <c r="D14" s="18" t="n">
        <f aca="false">B14/$B$10</f>
        <v>0.613206950555906</v>
      </c>
    </row>
    <row r="15" customFormat="false" ht="15" hidden="false" customHeight="false" outlineLevel="0" collapsed="false">
      <c r="A15" s="0" t="s">
        <v>11</v>
      </c>
      <c r="B15" s="11" t="n">
        <f aca="false">SUMIFS('Raw Data'!$H$2:$H$401,'Raw Data'!$C$2:$C$401,A15)</f>
        <v>239627.44</v>
      </c>
      <c r="C15" s="15" t="n">
        <f aca="false">SUMIFS('Raw Data'!$E$2:$E$401,'Raw Data'!$C$2:$C$401,A15)</f>
        <v>1256</v>
      </c>
      <c r="D15" s="18" t="n">
        <f aca="false">B15/$B$10</f>
        <v>0.245652401695369</v>
      </c>
    </row>
    <row r="16" customFormat="false" ht="15" hidden="false" customHeight="false" outlineLevel="0" collapsed="false">
      <c r="A16" s="0" t="s">
        <v>24</v>
      </c>
      <c r="B16" s="11" t="n">
        <f aca="false">SUMIFS('Raw Data'!$H$2:$H$401,'Raw Data'!$C$2:$C$401,A16)</f>
        <v>12057.9</v>
      </c>
      <c r="C16" s="15" t="n">
        <f aca="false">SUMIFS('Raw Data'!$E$2:$E$401,'Raw Data'!$C$2:$C$401,A16)</f>
        <v>1410</v>
      </c>
      <c r="D16" s="18" t="n">
        <f aca="false">B16/$B$10</f>
        <v>0.0123610722311376</v>
      </c>
    </row>
    <row r="17" customFormat="false" ht="15" hidden="false" customHeight="false" outlineLevel="0" collapsed="false">
      <c r="A17" s="0" t="s">
        <v>29</v>
      </c>
      <c r="B17" s="11" t="n">
        <f aca="false">SUMIFS('Raw Data'!$H$2:$H$401,'Raw Data'!$C$2:$C$401,A17)</f>
        <v>125621.08</v>
      </c>
      <c r="C17" s="15" t="n">
        <f aca="false">SUMIFS('Raw Data'!$E$2:$E$401,'Raw Data'!$C$2:$C$401,A17)</f>
        <v>1392</v>
      </c>
      <c r="D17" s="18" t="n">
        <f aca="false">B17/$B$10</f>
        <v>0.128779575517587</v>
      </c>
    </row>
    <row r="20" customFormat="false" ht="15" hidden="false" customHeight="false" outlineLevel="0" collapsed="false">
      <c r="A20" s="14" t="s">
        <v>304</v>
      </c>
    </row>
    <row r="21" customFormat="false" ht="15" hidden="false" customHeight="false" outlineLevel="0" collapsed="false">
      <c r="A21" s="19" t="s">
        <v>305</v>
      </c>
    </row>
    <row r="22" customFormat="false" ht="15" hidden="false" customHeight="false" outlineLevel="0" collapsed="false">
      <c r="A22" s="10" t="s">
        <v>3</v>
      </c>
      <c r="B22" s="10" t="s">
        <v>281</v>
      </c>
      <c r="C22" s="10" t="s">
        <v>7</v>
      </c>
      <c r="D22" s="10" t="s">
        <v>306</v>
      </c>
    </row>
    <row r="23" customFormat="false" ht="15" hidden="false" customHeight="false" outlineLevel="0" collapsed="false">
      <c r="A23" s="20" t="s">
        <v>17</v>
      </c>
      <c r="B23" s="15" t="n">
        <f aca="false">SUMIFS('Raw Data'!$E$2:$E$401,'Raw Data'!$D$2:$D$401,A23)</f>
        <v>263</v>
      </c>
      <c r="C23" s="11" t="n">
        <f aca="false">SUMIFS('Raw Data'!$H$2:$H$401,'Raw Data'!$D$2:$D$401,A23)</f>
        <v>236697.37</v>
      </c>
      <c r="D23" s="0" t="str">
        <f aca="false">INDEX('Raw Data'!$G$2:$G$401,MATCH(A23,'Raw Data'!$D$2:$D$401,0))</f>
        <v>J. Chen</v>
      </c>
    </row>
    <row r="24" customFormat="false" ht="15" hidden="false" customHeight="false" outlineLevel="0" collapsed="false">
      <c r="A24" s="21" t="s">
        <v>307</v>
      </c>
      <c r="B24" s="21"/>
      <c r="C24" s="21"/>
      <c r="D24" s="21"/>
    </row>
    <row r="26" customFormat="false" ht="15" hidden="false" customHeight="false" outlineLevel="0" collapsed="false">
      <c r="A26" s="14" t="s">
        <v>308</v>
      </c>
    </row>
    <row r="27" customFormat="false" ht="15" hidden="false" customHeight="false" outlineLevel="0" collapsed="false">
      <c r="A27" s="10" t="s">
        <v>6</v>
      </c>
      <c r="B27" s="10" t="s">
        <v>7</v>
      </c>
      <c r="C27" s="10" t="s">
        <v>309</v>
      </c>
      <c r="D27" s="10" t="s">
        <v>310</v>
      </c>
      <c r="E27" s="10" t="s">
        <v>311</v>
      </c>
    </row>
    <row r="28" customFormat="false" ht="15" hidden="false" customHeight="false" outlineLevel="0" collapsed="false">
      <c r="A28" s="0" t="s">
        <v>21</v>
      </c>
      <c r="B28" s="11" t="n">
        <f aca="false">SUMIFS('Raw Data'!$H$2:$H$401,'Raw Data'!$G$2:$G$401,A28)</f>
        <v>88247.39</v>
      </c>
      <c r="C28" s="15" t="n">
        <f aca="false">COUNTIFS('Raw Data'!$G$2:$G$401,A28)</f>
        <v>58</v>
      </c>
      <c r="D28" s="16" t="n">
        <f aca="false">IFERROR(B28/C28,0)</f>
        <v>1521.50672413793</v>
      </c>
      <c r="E28" s="15" t="n">
        <f aca="false">RANK(B28,$B$28:$B$33)</f>
        <v>6</v>
      </c>
    </row>
    <row r="29" customFormat="false" ht="15" hidden="false" customHeight="false" outlineLevel="0" collapsed="false">
      <c r="A29" s="0" t="s">
        <v>18</v>
      </c>
      <c r="B29" s="11" t="n">
        <f aca="false">SUMIFS('Raw Data'!$H$2:$H$401,'Raw Data'!$G$2:$G$401,A29)</f>
        <v>172271.89</v>
      </c>
      <c r="C29" s="15" t="n">
        <f aca="false">COUNTIFS('Raw Data'!$G$2:$G$401,A29)</f>
        <v>64</v>
      </c>
      <c r="D29" s="16" t="n">
        <f aca="false">IFERROR(B29/C29,0)</f>
        <v>2691.74828125</v>
      </c>
      <c r="E29" s="15" t="n">
        <f aca="false">RANK(B29,$B$28:$B$33)</f>
        <v>3</v>
      </c>
    </row>
    <row r="30" customFormat="false" ht="15" hidden="false" customHeight="false" outlineLevel="0" collapsed="false">
      <c r="A30" s="0" t="s">
        <v>35</v>
      </c>
      <c r="B30" s="11" t="n">
        <f aca="false">SUMIFS('Raw Data'!$H$2:$H$401,'Raw Data'!$G$2:$G$401,A30)</f>
        <v>204923.07</v>
      </c>
      <c r="C30" s="15" t="n">
        <f aca="false">COUNTIFS('Raw Data'!$G$2:$G$401,A30)</f>
        <v>71</v>
      </c>
      <c r="D30" s="16" t="n">
        <f aca="false">IFERROR(B30/C30,0)</f>
        <v>2886.24042253521</v>
      </c>
      <c r="E30" s="15" t="n">
        <f aca="false">RANK(B30,$B$28:$B$33)</f>
        <v>1</v>
      </c>
    </row>
    <row r="31" customFormat="false" ht="15" hidden="false" customHeight="false" outlineLevel="0" collapsed="false">
      <c r="A31" s="0" t="s">
        <v>39</v>
      </c>
      <c r="B31" s="11" t="n">
        <f aca="false">SUMIFS('Raw Data'!$H$2:$H$401,'Raw Data'!$G$2:$G$401,A31)</f>
        <v>158582.28</v>
      </c>
      <c r="C31" s="15" t="n">
        <f aca="false">COUNTIFS('Raw Data'!$G$2:$G$401,A31)</f>
        <v>71</v>
      </c>
      <c r="D31" s="16" t="n">
        <f aca="false">IFERROR(B31/C31,0)</f>
        <v>2233.55323943662</v>
      </c>
      <c r="E31" s="15" t="n">
        <f aca="false">RANK(B31,$B$28:$B$33)</f>
        <v>4</v>
      </c>
    </row>
    <row r="32" customFormat="false" ht="15" hidden="false" customHeight="false" outlineLevel="0" collapsed="false">
      <c r="A32" s="0" t="s">
        <v>31</v>
      </c>
      <c r="B32" s="11" t="n">
        <f aca="false">SUMIFS('Raw Data'!$H$2:$H$401,'Raw Data'!$G$2:$G$401,A32)</f>
        <v>202721.52</v>
      </c>
      <c r="C32" s="15" t="n">
        <f aca="false">COUNTIFS('Raw Data'!$G$2:$G$401,A32)</f>
        <v>71</v>
      </c>
      <c r="D32" s="16" t="n">
        <f aca="false">IFERROR(B32/C32,0)</f>
        <v>2855.23267605634</v>
      </c>
      <c r="E32" s="15" t="n">
        <f aca="false">RANK(B32,$B$28:$B$33)</f>
        <v>2</v>
      </c>
    </row>
    <row r="33" customFormat="false" ht="15" hidden="false" customHeight="false" outlineLevel="0" collapsed="false">
      <c r="A33" s="0" t="s">
        <v>13</v>
      </c>
      <c r="B33" s="11" t="n">
        <f aca="false">SUMIFS('Raw Data'!$H$2:$H$401,'Raw Data'!$G$2:$G$401,A33)</f>
        <v>148727.48</v>
      </c>
      <c r="C33" s="15" t="n">
        <f aca="false">COUNTIFS('Raw Data'!$G$2:$G$401,A33)</f>
        <v>65</v>
      </c>
      <c r="D33" s="16" t="n">
        <f aca="false">IFERROR(B33/C33,0)</f>
        <v>2288.11507692308</v>
      </c>
      <c r="E33" s="15" t="n">
        <f aca="false">RANK(B33,$B$28:$B$33)</f>
        <v>5</v>
      </c>
    </row>
  </sheetData>
  <mergeCells count="3">
    <mergeCell ref="A1:F1"/>
    <mergeCell ref="A2:F2"/>
    <mergeCell ref="A24:D24"/>
  </mergeCells>
  <conditionalFormatting sqref="B28:B33">
    <cfRule type="colorScale" priority="2">
      <colorScale>
        <cfvo type="min" val="0"/>
        <cfvo type="max" val="0"/>
        <color rgb="FFF8696B"/>
        <color rgb="FF63BE7B"/>
      </colorScale>
    </cfRule>
  </conditionalFormatting>
  <conditionalFormatting sqref="B14:B17">
    <cfRule type="colorScale" priority="3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2026-08-16T10:38:49Z</dcterms:created>
  <dc:creator>openpyxl</dc:creator>
  <dc:description/>
  <dc:language>en-US</dc:language>
  <cp:lastModifiedBy/>
  <dcterms:modified xsi:type="dcterms:W3CDTF">2026-08-16T10:38:51Z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